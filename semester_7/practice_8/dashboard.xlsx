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008\Desktop\Профильные дисциплины\4 курс\ИАД\ИАД8\"/>
    </mc:Choice>
  </mc:AlternateContent>
  <xr:revisionPtr revIDLastSave="0" documentId="13_ncr:1_{15A13BED-E482-4B39-948E-77CE7CF7D9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шборд" sheetId="1" r:id="rId1"/>
    <sheet name="Данные" sheetId="2" r:id="rId2"/>
    <sheet name="Обработк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G5" i="1"/>
  <c r="C5" i="1"/>
  <c r="B1" i="3"/>
  <c r="B2" i="3" s="1"/>
  <c r="C6" i="3" l="1"/>
  <c r="B18" i="3"/>
  <c r="A8" i="3"/>
  <c r="C8" i="3" s="1"/>
  <c r="A9" i="3"/>
  <c r="C9" i="3" s="1"/>
  <c r="A10" i="3"/>
  <c r="C10" i="3" s="1"/>
  <c r="A11" i="3"/>
  <c r="C11" i="3" s="1"/>
  <c r="A12" i="3"/>
  <c r="C12" i="3" s="1"/>
  <c r="A13" i="3"/>
  <c r="C13" i="3" s="1"/>
  <c r="A14" i="3"/>
  <c r="C14" i="3" s="1"/>
  <c r="A15" i="3"/>
  <c r="C15" i="3" s="1"/>
  <c r="A16" i="3"/>
  <c r="C16" i="3" s="1"/>
  <c r="A17" i="3"/>
  <c r="C17" i="3" s="1"/>
  <c r="A18" i="3"/>
  <c r="C18" i="3" s="1"/>
  <c r="A7" i="3"/>
  <c r="B7" i="3" s="1"/>
  <c r="B14" i="3" l="1"/>
  <c r="B10" i="3"/>
  <c r="C7" i="3"/>
  <c r="B17" i="3"/>
  <c r="B13" i="3"/>
  <c r="B9" i="3"/>
  <c r="B16" i="3"/>
  <c r="B12" i="3"/>
  <c r="B8" i="3"/>
  <c r="B15" i="3"/>
  <c r="B11" i="3"/>
  <c r="B4" i="3"/>
  <c r="L6" i="1" l="1"/>
  <c r="F23" i="3"/>
  <c r="G24" i="3" s="1"/>
  <c r="G25" i="3" s="1"/>
  <c r="G26" i="3" s="1"/>
  <c r="B3" i="3"/>
  <c r="F12" i="3" s="1"/>
  <c r="F1" i="3"/>
  <c r="D6" i="1" l="1"/>
  <c r="H6" i="1"/>
  <c r="G2" i="3"/>
  <c r="G3" i="3" s="1"/>
  <c r="G4" i="3" s="1"/>
  <c r="G5" i="3" s="1"/>
  <c r="G27" i="3"/>
  <c r="G28" i="3" s="1"/>
  <c r="G29" i="3" s="1"/>
  <c r="G30" i="3" s="1"/>
  <c r="G13" i="3"/>
  <c r="G14" i="3" s="1"/>
  <c r="G15" i="3" s="1"/>
  <c r="G16" i="3" l="1"/>
  <c r="G17" i="3" s="1"/>
  <c r="G31" i="3"/>
  <c r="G32" i="3" s="1"/>
  <c r="G33" i="3" s="1"/>
  <c r="G6" i="3"/>
  <c r="G18" i="3" l="1"/>
  <c r="G19" i="3" s="1"/>
  <c r="H23" i="3"/>
  <c r="G7" i="3"/>
  <c r="H24" i="3" l="1"/>
  <c r="G20" i="3"/>
  <c r="G8" i="3"/>
  <c r="G9" i="3" s="1"/>
  <c r="H25" i="3" l="1"/>
  <c r="G21" i="3"/>
  <c r="G22" i="3" s="1"/>
  <c r="H12" i="3" s="1"/>
  <c r="G10" i="3"/>
  <c r="G11" i="3" s="1"/>
  <c r="H1" i="3" s="1"/>
  <c r="H13" i="3" l="1"/>
  <c r="H14" i="3" s="1"/>
  <c r="H26" i="3"/>
  <c r="H2" i="3"/>
  <c r="H3" i="3" s="1"/>
  <c r="H15" i="3" l="1"/>
  <c r="H16" i="3" s="1"/>
  <c r="H17" i="3" s="1"/>
  <c r="H27" i="3"/>
  <c r="H4" i="3"/>
  <c r="H5" i="3" s="1"/>
  <c r="H6" i="3" s="1"/>
  <c r="H18" i="3" l="1"/>
  <c r="H19" i="3" s="1"/>
  <c r="H28" i="3"/>
  <c r="H29" i="3" s="1"/>
  <c r="H30" i="3" s="1"/>
  <c r="H31" i="3" s="1"/>
  <c r="H32" i="3" s="1"/>
  <c r="H33" i="3" s="1"/>
  <c r="H7" i="3"/>
  <c r="H8" i="3" s="1"/>
  <c r="H9" i="3" s="1"/>
  <c r="H10" i="3" s="1"/>
  <c r="H20" i="3" l="1"/>
  <c r="H21" i="3" s="1"/>
  <c r="H22" i="3" s="1"/>
  <c r="I23" i="3"/>
  <c r="H11" i="3"/>
  <c r="I1" i="3" s="1"/>
  <c r="I12" i="3" l="1"/>
  <c r="I24" i="3"/>
  <c r="I2" i="3"/>
  <c r="I3" i="3" s="1"/>
  <c r="I13" i="3" l="1"/>
  <c r="I25" i="3"/>
  <c r="I26" i="3" s="1"/>
  <c r="I4" i="3"/>
  <c r="I5" i="3" s="1"/>
  <c r="I14" i="3" l="1"/>
  <c r="I27" i="3"/>
  <c r="I6" i="3"/>
  <c r="I7" i="3" s="1"/>
  <c r="I8" i="3" s="1"/>
  <c r="I15" i="3" l="1"/>
  <c r="I28" i="3"/>
  <c r="I29" i="3" s="1"/>
  <c r="I9" i="3"/>
  <c r="I10" i="3" s="1"/>
  <c r="I11" i="3" s="1"/>
  <c r="J1" i="3" s="1"/>
  <c r="I16" i="3" l="1"/>
  <c r="I17" i="3" s="1"/>
  <c r="I18" i="3" s="1"/>
  <c r="I19" i="3" s="1"/>
  <c r="I30" i="3"/>
  <c r="I31" i="3" s="1"/>
  <c r="J2" i="3"/>
  <c r="I20" i="3" l="1"/>
  <c r="I21" i="3" s="1"/>
  <c r="I22" i="3" s="1"/>
  <c r="I32" i="3"/>
  <c r="I33" i="3" s="1"/>
  <c r="J23" i="3" s="1"/>
  <c r="J3" i="3"/>
  <c r="J12" i="3" l="1"/>
  <c r="J13" i="3" s="1"/>
  <c r="J24" i="3"/>
  <c r="J4" i="3"/>
  <c r="J5" i="3" s="1"/>
  <c r="J14" i="3" l="1"/>
  <c r="J15" i="3" s="1"/>
  <c r="J25" i="3"/>
  <c r="J26" i="3" s="1"/>
  <c r="J6" i="3"/>
  <c r="J7" i="3" s="1"/>
  <c r="J27" i="3" l="1"/>
  <c r="J16" i="3"/>
  <c r="J8" i="3"/>
  <c r="J28" i="3" l="1"/>
  <c r="J17" i="3"/>
  <c r="J9" i="3"/>
  <c r="J10" i="3" s="1"/>
  <c r="J29" i="3" l="1"/>
  <c r="J18" i="3"/>
  <c r="J19" i="3" s="1"/>
  <c r="J20" i="3" s="1"/>
  <c r="J21" i="3" s="1"/>
  <c r="J22" i="3" s="1"/>
  <c r="J11" i="3"/>
  <c r="K1" i="3" s="1"/>
  <c r="J30" i="3" l="1"/>
  <c r="J31" i="3" s="1"/>
  <c r="J32" i="3" s="1"/>
  <c r="K12" i="3"/>
  <c r="K2" i="3"/>
  <c r="K3" i="3" s="1"/>
  <c r="J33" i="3" l="1"/>
  <c r="K23" i="3" s="1"/>
  <c r="K24" i="3" s="1"/>
  <c r="K25" i="3" s="1"/>
  <c r="K13" i="3"/>
  <c r="K14" i="3" s="1"/>
  <c r="K4" i="3"/>
  <c r="K5" i="3" s="1"/>
  <c r="K6" i="3" s="1"/>
  <c r="K26" i="3" l="1"/>
  <c r="K15" i="3"/>
  <c r="K16" i="3" s="1"/>
  <c r="K7" i="3"/>
  <c r="K8" i="3" s="1"/>
  <c r="K9" i="3" s="1"/>
  <c r="K10" i="3" s="1"/>
  <c r="K11" i="3" s="1"/>
  <c r="L1" i="3" s="1"/>
  <c r="K17" i="3" l="1"/>
  <c r="K18" i="3" s="1"/>
  <c r="K27" i="3"/>
  <c r="L2" i="3"/>
  <c r="L3" i="3" s="1"/>
  <c r="K19" i="3" l="1"/>
  <c r="K20" i="3" s="1"/>
  <c r="K28" i="3"/>
  <c r="K29" i="3" s="1"/>
  <c r="L4" i="3"/>
  <c r="L5" i="3" s="1"/>
  <c r="K21" i="3" l="1"/>
  <c r="K22" i="3" s="1"/>
  <c r="L12" i="3" s="1"/>
  <c r="K30" i="3"/>
  <c r="K31" i="3" s="1"/>
  <c r="L6" i="3"/>
  <c r="L7" i="3" s="1"/>
  <c r="L8" i="3" s="1"/>
  <c r="L13" i="3" l="1"/>
  <c r="L14" i="3" s="1"/>
  <c r="L15" i="3" s="1"/>
  <c r="K32" i="3"/>
  <c r="K33" i="3" s="1"/>
  <c r="L23" i="3" s="1"/>
  <c r="L9" i="3"/>
  <c r="L10" i="3" s="1"/>
  <c r="L11" i="3" s="1"/>
  <c r="M1" i="3" s="1"/>
  <c r="L24" i="3" l="1"/>
  <c r="L25" i="3" s="1"/>
  <c r="L26" i="3" s="1"/>
  <c r="L16" i="3"/>
  <c r="L17" i="3" s="1"/>
  <c r="M2" i="3"/>
  <c r="M3" i="3" s="1"/>
  <c r="L27" i="3" l="1"/>
  <c r="L18" i="3"/>
  <c r="L19" i="3" s="1"/>
  <c r="M4" i="3"/>
  <c r="L28" i="3" l="1"/>
  <c r="L29" i="3" s="1"/>
  <c r="L20" i="3"/>
  <c r="L21" i="3" s="1"/>
  <c r="M5" i="3"/>
  <c r="M6" i="3" s="1"/>
  <c r="L30" i="3" l="1"/>
  <c r="L31" i="3" s="1"/>
  <c r="L32" i="3" s="1"/>
  <c r="L22" i="3"/>
  <c r="M12" i="3" s="1"/>
  <c r="M7" i="3"/>
  <c r="M8" i="3" s="1"/>
  <c r="L33" i="3" l="1"/>
  <c r="M23" i="3" s="1"/>
  <c r="M24" i="3" s="1"/>
  <c r="M13" i="3"/>
  <c r="M14" i="3" s="1"/>
  <c r="M9" i="3"/>
  <c r="M10" i="3" s="1"/>
  <c r="M11" i="3" s="1"/>
  <c r="N1" i="3" s="1"/>
  <c r="N2" i="3" s="1"/>
  <c r="M25" i="3" l="1"/>
  <c r="M26" i="3" s="1"/>
  <c r="M15" i="3"/>
  <c r="N3" i="3"/>
  <c r="M27" i="3" l="1"/>
  <c r="M28" i="3" s="1"/>
  <c r="M16" i="3"/>
  <c r="N4" i="3"/>
  <c r="M29" i="3" l="1"/>
  <c r="M30" i="3" s="1"/>
  <c r="M17" i="3"/>
  <c r="N5" i="3"/>
  <c r="M31" i="3" l="1"/>
  <c r="M32" i="3" s="1"/>
  <c r="M33" i="3" s="1"/>
  <c r="N23" i="3" s="1"/>
  <c r="M18" i="3"/>
  <c r="M19" i="3" s="1"/>
  <c r="M20" i="3" s="1"/>
  <c r="N6" i="3"/>
  <c r="N7" i="3" s="1"/>
  <c r="N8" i="3" s="1"/>
  <c r="N9" i="3" s="1"/>
  <c r="N10" i="3" s="1"/>
  <c r="N11" i="3" s="1"/>
  <c r="O1" i="3" s="1"/>
  <c r="N24" i="3" l="1"/>
  <c r="N25" i="3" s="1"/>
  <c r="M21" i="3"/>
  <c r="M22" i="3" s="1"/>
  <c r="N12" i="3" s="1"/>
  <c r="O2" i="3"/>
  <c r="O3" i="3" s="1"/>
  <c r="N26" i="3" l="1"/>
  <c r="N13" i="3"/>
  <c r="N14" i="3" s="1"/>
  <c r="O4" i="3"/>
  <c r="N15" i="3" l="1"/>
  <c r="N16" i="3" s="1"/>
  <c r="N27" i="3"/>
  <c r="N28" i="3" s="1"/>
  <c r="N29" i="3" s="1"/>
  <c r="O5" i="3"/>
  <c r="O6" i="3" s="1"/>
  <c r="N17" i="3" l="1"/>
  <c r="N18" i="3" s="1"/>
  <c r="N30" i="3"/>
  <c r="N31" i="3" s="1"/>
  <c r="N32" i="3" s="1"/>
  <c r="O7" i="3"/>
  <c r="O8" i="3" s="1"/>
  <c r="N33" i="3" l="1"/>
  <c r="O23" i="3" s="1"/>
  <c r="N19" i="3"/>
  <c r="N20" i="3" s="1"/>
  <c r="N21" i="3" s="1"/>
  <c r="N22" i="3" s="1"/>
  <c r="O9" i="3"/>
  <c r="O10" i="3" s="1"/>
  <c r="O11" i="3" s="1"/>
  <c r="P1" i="3" s="1"/>
  <c r="P2" i="3" s="1"/>
  <c r="P3" i="3" s="1"/>
  <c r="O24" i="3" l="1"/>
  <c r="P4" i="3"/>
  <c r="P5" i="3" s="1"/>
  <c r="O25" i="3" l="1"/>
  <c r="O12" i="3"/>
  <c r="P6" i="3"/>
  <c r="O26" i="3" l="1"/>
  <c r="O13" i="3"/>
  <c r="O14" i="3" s="1"/>
  <c r="P7" i="3"/>
  <c r="P8" i="3" s="1"/>
  <c r="O27" i="3" l="1"/>
  <c r="O15" i="3"/>
  <c r="P9" i="3"/>
  <c r="P10" i="3" s="1"/>
  <c r="P11" i="3" s="1"/>
  <c r="O28" i="3" l="1"/>
  <c r="O29" i="3" s="1"/>
  <c r="O30" i="3" s="1"/>
  <c r="O16" i="3"/>
  <c r="O31" i="3" l="1"/>
  <c r="O32" i="3" s="1"/>
  <c r="O33" i="3" s="1"/>
  <c r="P23" i="3" s="1"/>
  <c r="O17" i="3"/>
  <c r="O18" i="3" s="1"/>
  <c r="P24" i="3" l="1"/>
  <c r="O19" i="3"/>
  <c r="O20" i="3" s="1"/>
  <c r="P25" i="3" l="1"/>
  <c r="O21" i="3"/>
  <c r="O22" i="3" s="1"/>
  <c r="P26" i="3" l="1"/>
  <c r="P12" i="3"/>
  <c r="P27" i="3" l="1"/>
  <c r="P13" i="3"/>
  <c r="P28" i="3" l="1"/>
  <c r="P14" i="3"/>
  <c r="P29" i="3" l="1"/>
  <c r="P30" i="3" s="1"/>
  <c r="P31" i="3" s="1"/>
  <c r="P32" i="3" s="1"/>
  <c r="P33" i="3" s="1"/>
  <c r="P15" i="3"/>
  <c r="P16" i="3" s="1"/>
  <c r="P17" i="3" l="1"/>
  <c r="P18" i="3" s="1"/>
  <c r="P19" i="3" s="1"/>
  <c r="P20" i="3" l="1"/>
  <c r="P21" i="3" s="1"/>
  <c r="P22" i="3" s="1"/>
</calcChain>
</file>

<file path=xl/sharedStrings.xml><?xml version="1.0" encoding="utf-8"?>
<sst xmlns="http://schemas.openxmlformats.org/spreadsheetml/2006/main" count="23" uniqueCount="20">
  <si>
    <t>Пок. качеств.</t>
  </si>
  <si>
    <t>Производит.</t>
  </si>
  <si>
    <t>Уров. обслуж.</t>
  </si>
  <si>
    <t>Неделя после релиза</t>
  </si>
  <si>
    <t>Конверсия в платеж (%)</t>
  </si>
  <si>
    <t>Оценка в AppStore (0-100)</t>
  </si>
  <si>
    <t>Неделя 1</t>
  </si>
  <si>
    <t>Неделя 2</t>
  </si>
  <si>
    <t>Неделя 3</t>
  </si>
  <si>
    <t>Неделя 4</t>
  </si>
  <si>
    <t>Неделя 5</t>
  </si>
  <si>
    <t>Неделя 6</t>
  </si>
  <si>
    <t>Неделя 7</t>
  </si>
  <si>
    <t>Неделя 8</t>
  </si>
  <si>
    <t>Неделя 9</t>
  </si>
  <si>
    <t>Неделя 10</t>
  </si>
  <si>
    <t>Неделя 11</t>
  </si>
  <si>
    <t>Неделя 12</t>
  </si>
  <si>
    <t>Удержание пользовталей в течение недели (%)</t>
  </si>
  <si>
    <t>Неделя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</si>
</sst>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8"/>
      <color rgb="FF000000"/>
      <name val="Segoe UI"/>
      <family val="2"/>
      <charset val="204"/>
    </font>
    <font>
      <sz val="11"/>
      <color rgb="FFFAFAFA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9" fontId="2" fillId="0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4" fillId="0" borderId="0" xfId="0" applyFont="1"/>
    <xf numFmtId="0" fontId="5" fillId="0" borderId="0" xfId="0" applyFont="1"/>
    <xf numFmtId="9" fontId="0" fillId="0" borderId="0" xfId="0" applyNumberFormat="1"/>
    <xf numFmtId="0" fontId="0" fillId="0" borderId="3" xfId="0" applyBorder="1"/>
    <xf numFmtId="9" fontId="0" fillId="0" borderId="3" xfId="1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9" fontId="8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6" fillId="3" borderId="0" xfId="0" applyFont="1" applyFill="1"/>
    <xf numFmtId="0" fontId="7" fillId="3" borderId="0" xfId="2" applyFill="1"/>
    <xf numFmtId="0" fontId="0" fillId="3" borderId="0" xfId="0" applyFill="1"/>
    <xf numFmtId="0" fontId="10" fillId="3" borderId="0" xfId="0" applyFont="1" applyFill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7" fillId="0" borderId="0" xfId="2" applyAlignment="1">
      <alignment horizontal="left"/>
    </xf>
    <xf numFmtId="0" fontId="0" fillId="0" borderId="0" xfId="0" applyAlignment="1">
      <alignment horizontal="left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EE853E"/>
      <color rgb="FFFFBE00"/>
      <color rgb="FFFFD757"/>
      <color rgb="FFFFC6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3-4D7A-ADA4-EA2B74C04A12}"/>
            </c:ext>
          </c:extLst>
        </c:ser>
        <c:ser>
          <c:idx val="1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3-4D7A-ADA4-EA2B74C04A12}"/>
            </c:ext>
          </c:extLst>
        </c:ser>
        <c:ser>
          <c:idx val="1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3-4D7A-ADA4-EA2B74C04A12}"/>
            </c:ext>
          </c:extLst>
        </c:ser>
        <c:ser>
          <c:idx val="13"/>
          <c:order val="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3-4D7A-ADA4-EA2B74C04A12}"/>
            </c:ext>
          </c:extLst>
        </c:ser>
        <c:ser>
          <c:idx val="14"/>
          <c:order val="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3-4D7A-ADA4-EA2B74C04A12}"/>
            </c:ext>
          </c:extLst>
        </c:ser>
        <c:ser>
          <c:idx val="15"/>
          <c:order val="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3-4D7A-ADA4-EA2B74C04A12}"/>
            </c:ext>
          </c:extLst>
        </c:ser>
        <c:ser>
          <c:idx val="16"/>
          <c:order val="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3-4D7A-ADA4-EA2B74C04A12}"/>
            </c:ext>
          </c:extLst>
        </c:ser>
        <c:ser>
          <c:idx val="17"/>
          <c:order val="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3-4D7A-ADA4-EA2B74C04A12}"/>
            </c:ext>
          </c:extLst>
        </c:ser>
        <c:ser>
          <c:idx val="18"/>
          <c:order val="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3-4D7A-ADA4-EA2B74C04A12}"/>
            </c:ext>
          </c:extLst>
        </c:ser>
        <c:ser>
          <c:idx val="19"/>
          <c:order val="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B3-4D7A-ADA4-EA2B74C04A12}"/>
            </c:ext>
          </c:extLst>
        </c:ser>
        <c:ser>
          <c:idx val="0"/>
          <c:order val="1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B3-4D7A-ADA4-EA2B74C04A12}"/>
            </c:ext>
          </c:extLst>
        </c:ser>
        <c:ser>
          <c:idx val="1"/>
          <c:order val="1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6B3-4D7A-ADA4-EA2B74C04A12}"/>
            </c:ext>
          </c:extLst>
        </c:ser>
        <c:ser>
          <c:idx val="2"/>
          <c:order val="1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B3-4D7A-ADA4-EA2B74C04A12}"/>
            </c:ext>
          </c:extLst>
        </c:ser>
        <c:ser>
          <c:idx val="3"/>
          <c:order val="1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6B3-4D7A-ADA4-EA2B74C04A12}"/>
            </c:ext>
          </c:extLst>
        </c:ser>
        <c:ser>
          <c:idx val="4"/>
          <c:order val="1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B3-4D7A-ADA4-EA2B74C04A12}"/>
            </c:ext>
          </c:extLst>
        </c:ser>
        <c:ser>
          <c:idx val="5"/>
          <c:order val="1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B3-4D7A-ADA4-EA2B74C04A12}"/>
            </c:ext>
          </c:extLst>
        </c:ser>
        <c:ser>
          <c:idx val="6"/>
          <c:order val="1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6B3-4D7A-ADA4-EA2B74C04A12}"/>
            </c:ext>
          </c:extLst>
        </c:ser>
        <c:ser>
          <c:idx val="7"/>
          <c:order val="1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B3-4D7A-ADA4-EA2B74C04A12}"/>
            </c:ext>
          </c:extLst>
        </c:ser>
        <c:ser>
          <c:idx val="8"/>
          <c:order val="1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B3-4D7A-ADA4-EA2B74C04A12}"/>
            </c:ext>
          </c:extLst>
        </c:ser>
        <c:ser>
          <c:idx val="9"/>
          <c:order val="1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6B3-4D7A-ADA4-EA2B74C04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55423"/>
        <c:axId val="1974644607"/>
      </c:barChart>
      <c:catAx>
        <c:axId val="1974655423"/>
        <c:scaling>
          <c:orientation val="minMax"/>
        </c:scaling>
        <c:delete val="1"/>
        <c:axPos val="l"/>
        <c:majorTickMark val="out"/>
        <c:minorTickMark val="none"/>
        <c:tickLblPos val="nextTo"/>
        <c:crossAx val="1974644607"/>
        <c:crosses val="autoZero"/>
        <c:auto val="1"/>
        <c:lblAlgn val="ctr"/>
        <c:lblOffset val="100"/>
        <c:noMultiLvlLbl val="0"/>
      </c:catAx>
      <c:valAx>
        <c:axId val="1974644607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1974655423"/>
        <c:crosses val="autoZero"/>
        <c:crossBetween val="between"/>
      </c:valAx>
    </c:plotArea>
    <c:plotVisOnly val="1"/>
    <c:dispBlanksAs val="gap"/>
    <c:showDLblsOverMax val="0"/>
    <c:extLst/>
  </c:chart>
  <c:spPr>
    <a:noFill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Обработка!$G$2:$P$2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F-446B-8224-E192597F9F95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Обработка!$G$3:$P$3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F-446B-8224-E192597F9F95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Обработка!$G$4:$P$4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CF-446B-8224-E192597F9F95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Обработка!$G$5:$P$5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CF-446B-8224-E192597F9F95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Обработка!$G$6:$P$6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CF-446B-8224-E192597F9F95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Обработка!$G$7:$P$7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CF-446B-8224-E192597F9F95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Обработка!$G$8:$P$8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CF-446B-8224-E192597F9F95}"/>
            </c:ext>
          </c:extLst>
        </c:ser>
        <c:ser>
          <c:idx val="7"/>
          <c:order val="7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Обработка!$G$9:$P$9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CF-446B-8224-E192597F9F95}"/>
            </c:ext>
          </c:extLst>
        </c:ser>
        <c:ser>
          <c:idx val="8"/>
          <c:order val="8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Обработка!$G$10:$P$10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CF-446B-8224-E192597F9F95}"/>
            </c:ext>
          </c:extLst>
        </c:ser>
        <c:ser>
          <c:idx val="9"/>
          <c:order val="9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Обработка!$G$11:$P$11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CF-446B-8224-E192597F9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45855"/>
        <c:axId val="1974646687"/>
      </c:barChart>
      <c:catAx>
        <c:axId val="1974645855"/>
        <c:scaling>
          <c:orientation val="minMax"/>
        </c:scaling>
        <c:delete val="1"/>
        <c:axPos val="l"/>
        <c:majorTickMark val="none"/>
        <c:minorTickMark val="none"/>
        <c:tickLblPos val="nextTo"/>
        <c:crossAx val="1974646687"/>
        <c:crosses val="autoZero"/>
        <c:auto val="1"/>
        <c:lblAlgn val="ctr"/>
        <c:lblOffset val="100"/>
        <c:noMultiLvlLbl val="0"/>
      </c:catAx>
      <c:valAx>
        <c:axId val="1974646687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197464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3-417B-BD76-BC7996997FE9}"/>
            </c:ext>
          </c:extLst>
        </c:ser>
        <c:ser>
          <c:idx val="1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3-417B-BD76-BC7996997FE9}"/>
            </c:ext>
          </c:extLst>
        </c:ser>
        <c:ser>
          <c:idx val="1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3-417B-BD76-BC7996997FE9}"/>
            </c:ext>
          </c:extLst>
        </c:ser>
        <c:ser>
          <c:idx val="13"/>
          <c:order val="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3-417B-BD76-BC7996997FE9}"/>
            </c:ext>
          </c:extLst>
        </c:ser>
        <c:ser>
          <c:idx val="14"/>
          <c:order val="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73-417B-BD76-BC7996997FE9}"/>
            </c:ext>
          </c:extLst>
        </c:ser>
        <c:ser>
          <c:idx val="15"/>
          <c:order val="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73-417B-BD76-BC7996997FE9}"/>
            </c:ext>
          </c:extLst>
        </c:ser>
        <c:ser>
          <c:idx val="16"/>
          <c:order val="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73-417B-BD76-BC7996997FE9}"/>
            </c:ext>
          </c:extLst>
        </c:ser>
        <c:ser>
          <c:idx val="17"/>
          <c:order val="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73-417B-BD76-BC7996997FE9}"/>
            </c:ext>
          </c:extLst>
        </c:ser>
        <c:ser>
          <c:idx val="18"/>
          <c:order val="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73-417B-BD76-BC7996997FE9}"/>
            </c:ext>
          </c:extLst>
        </c:ser>
        <c:ser>
          <c:idx val="19"/>
          <c:order val="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73-417B-BD76-BC7996997FE9}"/>
            </c:ext>
          </c:extLst>
        </c:ser>
        <c:ser>
          <c:idx val="0"/>
          <c:order val="1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73-417B-BD76-BC7996997FE9}"/>
            </c:ext>
          </c:extLst>
        </c:ser>
        <c:ser>
          <c:idx val="1"/>
          <c:order val="1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73-417B-BD76-BC7996997FE9}"/>
            </c:ext>
          </c:extLst>
        </c:ser>
        <c:ser>
          <c:idx val="2"/>
          <c:order val="1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73-417B-BD76-BC7996997FE9}"/>
            </c:ext>
          </c:extLst>
        </c:ser>
        <c:ser>
          <c:idx val="3"/>
          <c:order val="1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973-417B-BD76-BC7996997FE9}"/>
            </c:ext>
          </c:extLst>
        </c:ser>
        <c:ser>
          <c:idx val="4"/>
          <c:order val="1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73-417B-BD76-BC7996997FE9}"/>
            </c:ext>
          </c:extLst>
        </c:ser>
        <c:ser>
          <c:idx val="5"/>
          <c:order val="1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973-417B-BD76-BC7996997FE9}"/>
            </c:ext>
          </c:extLst>
        </c:ser>
        <c:ser>
          <c:idx val="6"/>
          <c:order val="1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973-417B-BD76-BC7996997FE9}"/>
            </c:ext>
          </c:extLst>
        </c:ser>
        <c:ser>
          <c:idx val="7"/>
          <c:order val="1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73-417B-BD76-BC7996997FE9}"/>
            </c:ext>
          </c:extLst>
        </c:ser>
        <c:ser>
          <c:idx val="8"/>
          <c:order val="1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973-417B-BD76-BC7996997FE9}"/>
            </c:ext>
          </c:extLst>
        </c:ser>
        <c:ser>
          <c:idx val="9"/>
          <c:order val="1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973-417B-BD76-BC7996997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55423"/>
        <c:axId val="1974644607"/>
      </c:barChart>
      <c:catAx>
        <c:axId val="1974655423"/>
        <c:scaling>
          <c:orientation val="minMax"/>
        </c:scaling>
        <c:delete val="1"/>
        <c:axPos val="l"/>
        <c:majorTickMark val="out"/>
        <c:minorTickMark val="none"/>
        <c:tickLblPos val="nextTo"/>
        <c:crossAx val="1974644607"/>
        <c:crosses val="autoZero"/>
        <c:auto val="1"/>
        <c:lblAlgn val="ctr"/>
        <c:lblOffset val="100"/>
        <c:noMultiLvlLbl val="0"/>
      </c:catAx>
      <c:valAx>
        <c:axId val="1974644607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1974655423"/>
        <c:crosses val="autoZero"/>
        <c:crossBetween val="between"/>
      </c:valAx>
    </c:plotArea>
    <c:plotVisOnly val="1"/>
    <c:dispBlanksAs val="gap"/>
    <c:showDLblsOverMax val="0"/>
    <c:extLst/>
  </c:chart>
  <c:spPr>
    <a:noFill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Обработка!$G$13:$P$13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D-4933-95AA-700A8B9A9143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Обработка!$G$14:$P$14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D-4933-95AA-700A8B9A9143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Обработка!$G$15:$P$15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D-4933-95AA-700A8B9A9143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Обработка!$G$16:$P$16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5D-4933-95AA-700A8B9A9143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Обработка!$G$17:$P$17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5D-4933-95AA-700A8B9A9143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Обработка!$G$18:$P$18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5D-4933-95AA-700A8B9A9143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Обработка!$G$19:$P$19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5D-4933-95AA-700A8B9A9143}"/>
            </c:ext>
          </c:extLst>
        </c:ser>
        <c:ser>
          <c:idx val="7"/>
          <c:order val="7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Обработка!$G$20:$P$20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5D-4933-95AA-700A8B9A9143}"/>
            </c:ext>
          </c:extLst>
        </c:ser>
        <c:ser>
          <c:idx val="8"/>
          <c:order val="8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Обработка!$G$21:$P$21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5D-4933-95AA-700A8B9A9143}"/>
            </c:ext>
          </c:extLst>
        </c:ser>
        <c:ser>
          <c:idx val="9"/>
          <c:order val="9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Обработка!$G$22:$P$22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5D-4933-95AA-700A8B9A9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90783"/>
        <c:axId val="1974689951"/>
      </c:barChart>
      <c:catAx>
        <c:axId val="1974690783"/>
        <c:scaling>
          <c:orientation val="minMax"/>
        </c:scaling>
        <c:delete val="1"/>
        <c:axPos val="l"/>
        <c:majorTickMark val="none"/>
        <c:minorTickMark val="none"/>
        <c:tickLblPos val="nextTo"/>
        <c:crossAx val="1974689951"/>
        <c:crosses val="autoZero"/>
        <c:auto val="1"/>
        <c:lblAlgn val="ctr"/>
        <c:lblOffset val="100"/>
        <c:noMultiLvlLbl val="0"/>
      </c:catAx>
      <c:valAx>
        <c:axId val="1974689951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19746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0-465C-A96F-5C157D9A702D}"/>
            </c:ext>
          </c:extLst>
        </c:ser>
        <c:ser>
          <c:idx val="1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0-465C-A96F-5C157D9A702D}"/>
            </c:ext>
          </c:extLst>
        </c:ser>
        <c:ser>
          <c:idx val="1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10-465C-A96F-5C157D9A702D}"/>
            </c:ext>
          </c:extLst>
        </c:ser>
        <c:ser>
          <c:idx val="13"/>
          <c:order val="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10-465C-A96F-5C157D9A702D}"/>
            </c:ext>
          </c:extLst>
        </c:ser>
        <c:ser>
          <c:idx val="14"/>
          <c:order val="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10-465C-A96F-5C157D9A702D}"/>
            </c:ext>
          </c:extLst>
        </c:ser>
        <c:ser>
          <c:idx val="15"/>
          <c:order val="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10-465C-A96F-5C157D9A702D}"/>
            </c:ext>
          </c:extLst>
        </c:ser>
        <c:ser>
          <c:idx val="16"/>
          <c:order val="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10-465C-A96F-5C157D9A702D}"/>
            </c:ext>
          </c:extLst>
        </c:ser>
        <c:ser>
          <c:idx val="17"/>
          <c:order val="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10-465C-A96F-5C157D9A702D}"/>
            </c:ext>
          </c:extLst>
        </c:ser>
        <c:ser>
          <c:idx val="18"/>
          <c:order val="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10-465C-A96F-5C157D9A702D}"/>
            </c:ext>
          </c:extLst>
        </c:ser>
        <c:ser>
          <c:idx val="19"/>
          <c:order val="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310-465C-A96F-5C157D9A702D}"/>
            </c:ext>
          </c:extLst>
        </c:ser>
        <c:ser>
          <c:idx val="0"/>
          <c:order val="1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10-465C-A96F-5C157D9A702D}"/>
            </c:ext>
          </c:extLst>
        </c:ser>
        <c:ser>
          <c:idx val="1"/>
          <c:order val="1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310-465C-A96F-5C157D9A702D}"/>
            </c:ext>
          </c:extLst>
        </c:ser>
        <c:ser>
          <c:idx val="2"/>
          <c:order val="1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310-465C-A96F-5C157D9A702D}"/>
            </c:ext>
          </c:extLst>
        </c:ser>
        <c:ser>
          <c:idx val="3"/>
          <c:order val="1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310-465C-A96F-5C157D9A702D}"/>
            </c:ext>
          </c:extLst>
        </c:ser>
        <c:ser>
          <c:idx val="4"/>
          <c:order val="1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10-465C-A96F-5C157D9A702D}"/>
            </c:ext>
          </c:extLst>
        </c:ser>
        <c:ser>
          <c:idx val="5"/>
          <c:order val="1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310-465C-A96F-5C157D9A702D}"/>
            </c:ext>
          </c:extLst>
        </c:ser>
        <c:ser>
          <c:idx val="6"/>
          <c:order val="1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310-465C-A96F-5C157D9A702D}"/>
            </c:ext>
          </c:extLst>
        </c:ser>
        <c:ser>
          <c:idx val="7"/>
          <c:order val="1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310-465C-A96F-5C157D9A702D}"/>
            </c:ext>
          </c:extLst>
        </c:ser>
        <c:ser>
          <c:idx val="8"/>
          <c:order val="1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310-465C-A96F-5C157D9A702D}"/>
            </c:ext>
          </c:extLst>
        </c:ser>
        <c:ser>
          <c:idx val="9"/>
          <c:order val="1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310-465C-A96F-5C157D9A7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55423"/>
        <c:axId val="1974644607"/>
      </c:barChart>
      <c:catAx>
        <c:axId val="1974655423"/>
        <c:scaling>
          <c:orientation val="minMax"/>
        </c:scaling>
        <c:delete val="1"/>
        <c:axPos val="l"/>
        <c:majorTickMark val="out"/>
        <c:minorTickMark val="none"/>
        <c:tickLblPos val="nextTo"/>
        <c:crossAx val="1974644607"/>
        <c:crosses val="autoZero"/>
        <c:auto val="1"/>
        <c:lblAlgn val="ctr"/>
        <c:lblOffset val="100"/>
        <c:noMultiLvlLbl val="0"/>
      </c:catAx>
      <c:valAx>
        <c:axId val="1974644607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1974655423"/>
        <c:crosses val="autoZero"/>
        <c:crossBetween val="between"/>
      </c:valAx>
    </c:plotArea>
    <c:plotVisOnly val="1"/>
    <c:dispBlanksAs val="gap"/>
    <c:showDLblsOverMax val="0"/>
    <c:extLst/>
  </c:chart>
  <c:spPr>
    <a:noFill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Обработка!$G$24:$P$24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4A68-89DC-99B3AB796CC9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Обработка!$G$25:$P$25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8-4A68-89DC-99B3AB796CC9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Обработка!$G$26:$P$26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8-4A68-89DC-99B3AB796CC9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Обработка!$G$27:$P$27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38-4A68-89DC-99B3AB796CC9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Обработка!$G$28:$P$28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38-4A68-89DC-99B3AB796CC9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Обработка!$G$29:$P$29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38-4A68-89DC-99B3AB796CC9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Обработка!$G$30:$P$30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38-4A68-89DC-99B3AB796CC9}"/>
            </c:ext>
          </c:extLst>
        </c:ser>
        <c:ser>
          <c:idx val="7"/>
          <c:order val="7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Обработка!$G$31:$P$31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38-4A68-89DC-99B3AB796CC9}"/>
            </c:ext>
          </c:extLst>
        </c:ser>
        <c:ser>
          <c:idx val="8"/>
          <c:order val="8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Обработка!$G$32:$P$32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38-4A68-89DC-99B3AB796CC9}"/>
            </c:ext>
          </c:extLst>
        </c:ser>
        <c:ser>
          <c:idx val="9"/>
          <c:order val="9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Обработка!$G$33:$P$33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B38-4A68-89DC-99B3AB796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69151"/>
        <c:axId val="1974684543"/>
      </c:barChart>
      <c:catAx>
        <c:axId val="1974669151"/>
        <c:scaling>
          <c:orientation val="minMax"/>
        </c:scaling>
        <c:delete val="1"/>
        <c:axPos val="l"/>
        <c:majorTickMark val="none"/>
        <c:minorTickMark val="none"/>
        <c:tickLblPos val="nextTo"/>
        <c:crossAx val="1974684543"/>
        <c:crosses val="autoZero"/>
        <c:auto val="1"/>
        <c:lblAlgn val="ctr"/>
        <c:lblOffset val="100"/>
        <c:noMultiLvlLbl val="0"/>
      </c:catAx>
      <c:valAx>
        <c:axId val="1974684543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197466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Обработка!$C$6</c:f>
          <c:strCache>
            <c:ptCount val="1"/>
            <c:pt idx="0">
              <c:v>Оценка в AppStore (0-100)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tx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Обработка!$B$7:$B$18</c:f>
              <c:strCache>
                <c:ptCount val="12"/>
                <c:pt idx="0">
                  <c:v>Нед</c:v>
                </c:pt>
                <c:pt idx="1">
                  <c:v>Нед</c:v>
                </c:pt>
                <c:pt idx="2">
                  <c:v>Нед</c:v>
                </c:pt>
                <c:pt idx="3">
                  <c:v>Нед</c:v>
                </c:pt>
                <c:pt idx="4">
                  <c:v>Нед</c:v>
                </c:pt>
                <c:pt idx="5">
                  <c:v>Нед</c:v>
                </c:pt>
                <c:pt idx="6">
                  <c:v>Нед</c:v>
                </c:pt>
                <c:pt idx="7">
                  <c:v>Нед</c:v>
                </c:pt>
                <c:pt idx="8">
                  <c:v>Нед</c:v>
                </c:pt>
                <c:pt idx="9">
                  <c:v>Нед</c:v>
                </c:pt>
                <c:pt idx="10">
                  <c:v>Нед</c:v>
                </c:pt>
                <c:pt idx="11">
                  <c:v>Нед</c:v>
                </c:pt>
              </c:strCache>
            </c:strRef>
          </c:cat>
          <c:val>
            <c:numRef>
              <c:f>Обработка!$C$7:$C$18</c:f>
              <c:numCache>
                <c:formatCode>0%</c:formatCode>
                <c:ptCount val="12"/>
                <c:pt idx="0">
                  <c:v>0.25</c:v>
                </c:pt>
                <c:pt idx="1">
                  <c:v>0.33</c:v>
                </c:pt>
                <c:pt idx="2">
                  <c:v>0.34</c:v>
                </c:pt>
                <c:pt idx="3">
                  <c:v>0.4</c:v>
                </c:pt>
                <c:pt idx="4">
                  <c:v>0.49</c:v>
                </c:pt>
                <c:pt idx="5">
                  <c:v>0.4</c:v>
                </c:pt>
                <c:pt idx="6">
                  <c:v>0.65</c:v>
                </c:pt>
                <c:pt idx="7">
                  <c:v>0.7</c:v>
                </c:pt>
                <c:pt idx="8">
                  <c:v>0.8</c:v>
                </c:pt>
                <c:pt idx="9">
                  <c:v>0.82</c:v>
                </c:pt>
                <c:pt idx="10">
                  <c:v>0.84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45-471D-9A8B-984A9C0DF2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4636703"/>
        <c:axId val="1974634623"/>
      </c:lineChart>
      <c:catAx>
        <c:axId val="197463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4634623"/>
        <c:crosses val="autoZero"/>
        <c:auto val="1"/>
        <c:lblAlgn val="ctr"/>
        <c:lblOffset val="100"/>
        <c:noMultiLvlLbl val="0"/>
      </c:catAx>
      <c:valAx>
        <c:axId val="19746346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463670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41F-4B8A-84DA-7F4C78F351CB}"/>
            </c:ext>
          </c:extLst>
        </c:ser>
        <c:ser>
          <c:idx val="1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41F-4B8A-84DA-7F4C78F351CB}"/>
            </c:ext>
          </c:extLst>
        </c:ser>
        <c:ser>
          <c:idx val="1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41F-4B8A-84DA-7F4C78F351CB}"/>
            </c:ext>
          </c:extLst>
        </c:ser>
        <c:ser>
          <c:idx val="13"/>
          <c:order val="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41F-4B8A-84DA-7F4C78F351CB}"/>
            </c:ext>
          </c:extLst>
        </c:ser>
        <c:ser>
          <c:idx val="14"/>
          <c:order val="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41F-4B8A-84DA-7F4C78F351CB}"/>
            </c:ext>
          </c:extLst>
        </c:ser>
        <c:ser>
          <c:idx val="15"/>
          <c:order val="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41F-4B8A-84DA-7F4C78F351CB}"/>
            </c:ext>
          </c:extLst>
        </c:ser>
        <c:ser>
          <c:idx val="16"/>
          <c:order val="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41F-4B8A-84DA-7F4C78F351CB}"/>
            </c:ext>
          </c:extLst>
        </c:ser>
        <c:ser>
          <c:idx val="17"/>
          <c:order val="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41F-4B8A-84DA-7F4C78F351CB}"/>
            </c:ext>
          </c:extLst>
        </c:ser>
        <c:ser>
          <c:idx val="18"/>
          <c:order val="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41F-4B8A-84DA-7F4C78F351CB}"/>
            </c:ext>
          </c:extLst>
        </c:ser>
        <c:ser>
          <c:idx val="19"/>
          <c:order val="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41F-4B8A-84DA-7F4C78F351CB}"/>
            </c:ext>
          </c:extLst>
        </c:ser>
        <c:ser>
          <c:idx val="0"/>
          <c:order val="1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1F-4B8A-84DA-7F4C78F351CB}"/>
            </c:ext>
          </c:extLst>
        </c:ser>
        <c:ser>
          <c:idx val="1"/>
          <c:order val="1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41F-4B8A-84DA-7F4C78F351CB}"/>
            </c:ext>
          </c:extLst>
        </c:ser>
        <c:ser>
          <c:idx val="2"/>
          <c:order val="1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41F-4B8A-84DA-7F4C78F351CB}"/>
            </c:ext>
          </c:extLst>
        </c:ser>
        <c:ser>
          <c:idx val="3"/>
          <c:order val="1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41F-4B8A-84DA-7F4C78F351CB}"/>
            </c:ext>
          </c:extLst>
        </c:ser>
        <c:ser>
          <c:idx val="4"/>
          <c:order val="1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41F-4B8A-84DA-7F4C78F351CB}"/>
            </c:ext>
          </c:extLst>
        </c:ser>
        <c:ser>
          <c:idx val="5"/>
          <c:order val="1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41F-4B8A-84DA-7F4C78F351CB}"/>
            </c:ext>
          </c:extLst>
        </c:ser>
        <c:ser>
          <c:idx val="6"/>
          <c:order val="1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41F-4B8A-84DA-7F4C78F351CB}"/>
            </c:ext>
          </c:extLst>
        </c:ser>
        <c:ser>
          <c:idx val="7"/>
          <c:order val="1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41F-4B8A-84DA-7F4C78F351CB}"/>
            </c:ext>
          </c:extLst>
        </c:ser>
        <c:ser>
          <c:idx val="8"/>
          <c:order val="1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41F-4B8A-84DA-7F4C78F351CB}"/>
            </c:ext>
          </c:extLst>
        </c:ser>
        <c:ser>
          <c:idx val="9"/>
          <c:order val="1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41F-4B8A-84DA-7F4C78F35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55423"/>
        <c:axId val="1974644607"/>
      </c:barChart>
      <c:catAx>
        <c:axId val="1974655423"/>
        <c:scaling>
          <c:orientation val="minMax"/>
        </c:scaling>
        <c:delete val="1"/>
        <c:axPos val="l"/>
        <c:majorTickMark val="out"/>
        <c:minorTickMark val="none"/>
        <c:tickLblPos val="nextTo"/>
        <c:crossAx val="1974644607"/>
        <c:crosses val="autoZero"/>
        <c:auto val="1"/>
        <c:lblAlgn val="ctr"/>
        <c:lblOffset val="100"/>
        <c:noMultiLvlLbl val="0"/>
      </c:catAx>
      <c:valAx>
        <c:axId val="1974644607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1974655423"/>
        <c:crosses val="autoZero"/>
        <c:crossBetween val="between"/>
      </c:valAx>
    </c:plotArea>
    <c:plotVisOnly val="1"/>
    <c:dispBlanksAs val="gap"/>
    <c:showDLblsOverMax val="0"/>
    <c:extLst/>
  </c:chart>
  <c:spPr>
    <a:noFill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Обработка!$G$2:$P$2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8-444F-AA12-1E9E6A445936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Обработка!$G$3:$P$3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8-444F-AA12-1E9E6A445936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Обработка!$G$4:$P$4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8-444F-AA12-1E9E6A445936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Обработка!$G$5:$P$5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38-444F-AA12-1E9E6A445936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Обработка!$G$6:$P$6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38-444F-AA12-1E9E6A445936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Обработка!$G$7:$P$7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38-444F-AA12-1E9E6A445936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Обработка!$G$8:$P$8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38-444F-AA12-1E9E6A445936}"/>
            </c:ext>
          </c:extLst>
        </c:ser>
        <c:ser>
          <c:idx val="7"/>
          <c:order val="7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Обработка!$G$9:$P$9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38-444F-AA12-1E9E6A445936}"/>
            </c:ext>
          </c:extLst>
        </c:ser>
        <c:ser>
          <c:idx val="8"/>
          <c:order val="8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Обработка!$G$10:$P$10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38-444F-AA12-1E9E6A445936}"/>
            </c:ext>
          </c:extLst>
        </c:ser>
        <c:ser>
          <c:idx val="9"/>
          <c:order val="9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Обработка!$G$11:$P$11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38-444F-AA12-1E9E6A445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45855"/>
        <c:axId val="1974646687"/>
      </c:barChart>
      <c:catAx>
        <c:axId val="1974645855"/>
        <c:scaling>
          <c:orientation val="minMax"/>
        </c:scaling>
        <c:delete val="1"/>
        <c:axPos val="l"/>
        <c:majorTickMark val="none"/>
        <c:minorTickMark val="none"/>
        <c:tickLblPos val="nextTo"/>
        <c:crossAx val="1974646687"/>
        <c:crosses val="autoZero"/>
        <c:auto val="1"/>
        <c:lblAlgn val="ctr"/>
        <c:lblOffset val="100"/>
        <c:noMultiLvlLbl val="0"/>
      </c:catAx>
      <c:valAx>
        <c:axId val="1974646687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197464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B-45DA-9634-C806656604FE}"/>
            </c:ext>
          </c:extLst>
        </c:ser>
        <c:ser>
          <c:idx val="1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B-45DA-9634-C806656604FE}"/>
            </c:ext>
          </c:extLst>
        </c:ser>
        <c:ser>
          <c:idx val="1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B-45DA-9634-C806656604FE}"/>
            </c:ext>
          </c:extLst>
        </c:ser>
        <c:ser>
          <c:idx val="13"/>
          <c:order val="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CB-45DA-9634-C806656604FE}"/>
            </c:ext>
          </c:extLst>
        </c:ser>
        <c:ser>
          <c:idx val="14"/>
          <c:order val="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CB-45DA-9634-C806656604FE}"/>
            </c:ext>
          </c:extLst>
        </c:ser>
        <c:ser>
          <c:idx val="15"/>
          <c:order val="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CB-45DA-9634-C806656604FE}"/>
            </c:ext>
          </c:extLst>
        </c:ser>
        <c:ser>
          <c:idx val="16"/>
          <c:order val="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CB-45DA-9634-C806656604FE}"/>
            </c:ext>
          </c:extLst>
        </c:ser>
        <c:ser>
          <c:idx val="17"/>
          <c:order val="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CB-45DA-9634-C806656604FE}"/>
            </c:ext>
          </c:extLst>
        </c:ser>
        <c:ser>
          <c:idx val="18"/>
          <c:order val="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CB-45DA-9634-C806656604FE}"/>
            </c:ext>
          </c:extLst>
        </c:ser>
        <c:ser>
          <c:idx val="19"/>
          <c:order val="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CB-45DA-9634-C806656604FE}"/>
            </c:ext>
          </c:extLst>
        </c:ser>
        <c:ser>
          <c:idx val="0"/>
          <c:order val="1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CB-45DA-9634-C806656604FE}"/>
            </c:ext>
          </c:extLst>
        </c:ser>
        <c:ser>
          <c:idx val="1"/>
          <c:order val="1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ECB-45DA-9634-C806656604FE}"/>
            </c:ext>
          </c:extLst>
        </c:ser>
        <c:ser>
          <c:idx val="2"/>
          <c:order val="1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CB-45DA-9634-C806656604FE}"/>
            </c:ext>
          </c:extLst>
        </c:ser>
        <c:ser>
          <c:idx val="3"/>
          <c:order val="1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ECB-45DA-9634-C806656604FE}"/>
            </c:ext>
          </c:extLst>
        </c:ser>
        <c:ser>
          <c:idx val="4"/>
          <c:order val="1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ECB-45DA-9634-C806656604FE}"/>
            </c:ext>
          </c:extLst>
        </c:ser>
        <c:ser>
          <c:idx val="5"/>
          <c:order val="1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ECB-45DA-9634-C806656604FE}"/>
            </c:ext>
          </c:extLst>
        </c:ser>
        <c:ser>
          <c:idx val="6"/>
          <c:order val="1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ECB-45DA-9634-C806656604FE}"/>
            </c:ext>
          </c:extLst>
        </c:ser>
        <c:ser>
          <c:idx val="7"/>
          <c:order val="1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ECB-45DA-9634-C806656604FE}"/>
            </c:ext>
          </c:extLst>
        </c:ser>
        <c:ser>
          <c:idx val="8"/>
          <c:order val="1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ECB-45DA-9634-C806656604FE}"/>
            </c:ext>
          </c:extLst>
        </c:ser>
        <c:ser>
          <c:idx val="9"/>
          <c:order val="1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ECB-45DA-9634-C80665660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55423"/>
        <c:axId val="1974644607"/>
      </c:barChart>
      <c:catAx>
        <c:axId val="1974655423"/>
        <c:scaling>
          <c:orientation val="minMax"/>
        </c:scaling>
        <c:delete val="1"/>
        <c:axPos val="l"/>
        <c:majorTickMark val="out"/>
        <c:minorTickMark val="none"/>
        <c:tickLblPos val="nextTo"/>
        <c:crossAx val="1974644607"/>
        <c:crosses val="autoZero"/>
        <c:auto val="1"/>
        <c:lblAlgn val="ctr"/>
        <c:lblOffset val="100"/>
        <c:noMultiLvlLbl val="0"/>
      </c:catAx>
      <c:valAx>
        <c:axId val="1974644607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1974655423"/>
        <c:crosses val="autoZero"/>
        <c:crossBetween val="between"/>
      </c:valAx>
    </c:plotArea>
    <c:plotVisOnly val="1"/>
    <c:dispBlanksAs val="gap"/>
    <c:showDLblsOverMax val="0"/>
    <c:extLst/>
  </c:chart>
  <c:spPr>
    <a:noFill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Обработка!$G$13:$P$13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E-47C3-96D6-EC99B8432A38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Обработка!$G$14:$P$14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FE-47C3-96D6-EC99B8432A38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Обработка!$G$15:$P$15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FE-47C3-96D6-EC99B8432A38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Обработка!$G$16:$P$16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FE-47C3-96D6-EC99B8432A38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Обработка!$G$17:$P$17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FE-47C3-96D6-EC99B8432A38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Обработка!$G$18:$P$18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FE-47C3-96D6-EC99B8432A38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Обработка!$G$19:$P$19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FE-47C3-96D6-EC99B8432A38}"/>
            </c:ext>
          </c:extLst>
        </c:ser>
        <c:ser>
          <c:idx val="7"/>
          <c:order val="7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Обработка!$G$20:$P$20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FE-47C3-96D6-EC99B8432A38}"/>
            </c:ext>
          </c:extLst>
        </c:ser>
        <c:ser>
          <c:idx val="8"/>
          <c:order val="8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Обработка!$G$21:$P$21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FE-47C3-96D6-EC99B8432A38}"/>
            </c:ext>
          </c:extLst>
        </c:ser>
        <c:ser>
          <c:idx val="9"/>
          <c:order val="9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Обработка!$G$22:$P$22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FE-47C3-96D6-EC99B8432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90783"/>
        <c:axId val="1974689951"/>
      </c:barChart>
      <c:catAx>
        <c:axId val="1974690783"/>
        <c:scaling>
          <c:orientation val="minMax"/>
        </c:scaling>
        <c:delete val="1"/>
        <c:axPos val="l"/>
        <c:majorTickMark val="none"/>
        <c:minorTickMark val="none"/>
        <c:tickLblPos val="nextTo"/>
        <c:crossAx val="1974689951"/>
        <c:crosses val="autoZero"/>
        <c:auto val="1"/>
        <c:lblAlgn val="ctr"/>
        <c:lblOffset val="100"/>
        <c:noMultiLvlLbl val="0"/>
      </c:catAx>
      <c:valAx>
        <c:axId val="1974689951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197469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0"/>
          <c:order val="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D-4253-946F-2CC096EC9886}"/>
            </c:ext>
          </c:extLst>
        </c:ser>
        <c:ser>
          <c:idx val="11"/>
          <c:order val="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D-4253-946F-2CC096EC9886}"/>
            </c:ext>
          </c:extLst>
        </c:ser>
        <c:ser>
          <c:idx val="12"/>
          <c:order val="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D-4253-946F-2CC096EC9886}"/>
            </c:ext>
          </c:extLst>
        </c:ser>
        <c:ser>
          <c:idx val="13"/>
          <c:order val="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8D-4253-946F-2CC096EC9886}"/>
            </c:ext>
          </c:extLst>
        </c:ser>
        <c:ser>
          <c:idx val="14"/>
          <c:order val="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8D-4253-946F-2CC096EC9886}"/>
            </c:ext>
          </c:extLst>
        </c:ser>
        <c:ser>
          <c:idx val="15"/>
          <c:order val="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8D-4253-946F-2CC096EC9886}"/>
            </c:ext>
          </c:extLst>
        </c:ser>
        <c:ser>
          <c:idx val="16"/>
          <c:order val="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8D-4253-946F-2CC096EC9886}"/>
            </c:ext>
          </c:extLst>
        </c:ser>
        <c:ser>
          <c:idx val="17"/>
          <c:order val="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8D-4253-946F-2CC096EC9886}"/>
            </c:ext>
          </c:extLst>
        </c:ser>
        <c:ser>
          <c:idx val="18"/>
          <c:order val="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8D-4253-946F-2CC096EC9886}"/>
            </c:ext>
          </c:extLst>
        </c:ser>
        <c:ser>
          <c:idx val="19"/>
          <c:order val="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8D-4253-946F-2CC096EC9886}"/>
            </c:ext>
          </c:extLst>
        </c:ser>
        <c:ser>
          <c:idx val="0"/>
          <c:order val="10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Обработка!$R$2:$AA$2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8D-4253-946F-2CC096EC9886}"/>
            </c:ext>
          </c:extLst>
        </c:ser>
        <c:ser>
          <c:idx val="1"/>
          <c:order val="11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Обработка!$R$3:$AA$3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38D-4253-946F-2CC096EC9886}"/>
            </c:ext>
          </c:extLst>
        </c:ser>
        <c:ser>
          <c:idx val="2"/>
          <c:order val="12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Обработка!$R$4:$AA$4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8D-4253-946F-2CC096EC9886}"/>
            </c:ext>
          </c:extLst>
        </c:ser>
        <c:ser>
          <c:idx val="3"/>
          <c:order val="13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Обработка!$R$5:$AA$5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8D-4253-946F-2CC096EC9886}"/>
            </c:ext>
          </c:extLst>
        </c:ser>
        <c:ser>
          <c:idx val="4"/>
          <c:order val="14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Обработка!$R$6:$AA$6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8D-4253-946F-2CC096EC9886}"/>
            </c:ext>
          </c:extLst>
        </c:ser>
        <c:ser>
          <c:idx val="5"/>
          <c:order val="15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Обработка!$R$7:$AA$7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38D-4253-946F-2CC096EC9886}"/>
            </c:ext>
          </c:extLst>
        </c:ser>
        <c:ser>
          <c:idx val="6"/>
          <c:order val="1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Обработка!$R$8:$AA$8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38D-4253-946F-2CC096EC9886}"/>
            </c:ext>
          </c:extLst>
        </c:ser>
        <c:ser>
          <c:idx val="7"/>
          <c:order val="17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Обработка!$R$9:$AA$9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38D-4253-946F-2CC096EC9886}"/>
            </c:ext>
          </c:extLst>
        </c:ser>
        <c:ser>
          <c:idx val="8"/>
          <c:order val="18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Обработка!$R$10:$AA$10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38D-4253-946F-2CC096EC9886}"/>
            </c:ext>
          </c:extLst>
        </c:ser>
        <c:ser>
          <c:idx val="9"/>
          <c:order val="19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Обработка!$R$11:$AA$11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38D-4253-946F-2CC096EC9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55423"/>
        <c:axId val="1974644607"/>
      </c:barChart>
      <c:catAx>
        <c:axId val="1974655423"/>
        <c:scaling>
          <c:orientation val="minMax"/>
        </c:scaling>
        <c:delete val="1"/>
        <c:axPos val="l"/>
        <c:majorTickMark val="out"/>
        <c:minorTickMark val="none"/>
        <c:tickLblPos val="nextTo"/>
        <c:crossAx val="1974644607"/>
        <c:crosses val="autoZero"/>
        <c:auto val="1"/>
        <c:lblAlgn val="ctr"/>
        <c:lblOffset val="100"/>
        <c:noMultiLvlLbl val="0"/>
      </c:catAx>
      <c:valAx>
        <c:axId val="1974644607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1974655423"/>
        <c:crosses val="autoZero"/>
        <c:crossBetween val="between"/>
      </c:valAx>
    </c:plotArea>
    <c:plotVisOnly val="1"/>
    <c:dispBlanksAs val="gap"/>
    <c:showDLblsOverMax val="0"/>
    <c:extLst/>
  </c:chart>
  <c:spPr>
    <a:noFill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Обработка!$G$24:$P$24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B-4818-BE93-9871CEFC6883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Обработка!$G$25:$P$25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B-4818-BE93-9871CEFC6883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Обработка!$G$26:$P$26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6B-4818-BE93-9871CEFC6883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Обработка!$G$27:$P$27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6B-4818-BE93-9871CEFC6883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Обработка!$G$28:$P$28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6B-4818-BE93-9871CEFC6883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Обработка!$G$29:$P$29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6B-4818-BE93-9871CEFC6883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Обработка!$G$30:$P$30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6B-4818-BE93-9871CEFC6883}"/>
            </c:ext>
          </c:extLst>
        </c:ser>
        <c:ser>
          <c:idx val="7"/>
          <c:order val="7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Обработка!$G$31:$P$31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6B-4818-BE93-9871CEFC6883}"/>
            </c:ext>
          </c:extLst>
        </c:ser>
        <c:ser>
          <c:idx val="8"/>
          <c:order val="8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Обработка!$G$32:$P$32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6B-4818-BE93-9871CEFC6883}"/>
            </c:ext>
          </c:extLst>
        </c:ser>
        <c:ser>
          <c:idx val="9"/>
          <c:order val="9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val>
            <c:numRef>
              <c:f>Обработка!$G$33:$P$33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6B-4818-BE93-9871CEFC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74669151"/>
        <c:axId val="1974684543"/>
      </c:barChart>
      <c:catAx>
        <c:axId val="1974669151"/>
        <c:scaling>
          <c:orientation val="minMax"/>
        </c:scaling>
        <c:delete val="1"/>
        <c:axPos val="l"/>
        <c:majorTickMark val="none"/>
        <c:minorTickMark val="none"/>
        <c:tickLblPos val="nextTo"/>
        <c:crossAx val="1974684543"/>
        <c:crosses val="autoZero"/>
        <c:auto val="1"/>
        <c:lblAlgn val="ctr"/>
        <c:lblOffset val="100"/>
        <c:noMultiLvlLbl val="0"/>
      </c:catAx>
      <c:valAx>
        <c:axId val="1974684543"/>
        <c:scaling>
          <c:orientation val="minMax"/>
          <c:max val="10"/>
        </c:scaling>
        <c:delete val="1"/>
        <c:axPos val="b"/>
        <c:numFmt formatCode="General" sourceLinked="1"/>
        <c:majorTickMark val="none"/>
        <c:minorTickMark val="none"/>
        <c:tickLblPos val="nextTo"/>
        <c:crossAx val="197466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Обработка!$C$6</c:f>
          <c:strCache>
            <c:ptCount val="1"/>
            <c:pt idx="0">
              <c:v>Оценка в AppStore (0-100)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tx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Обработка!$B$7:$B$18</c:f>
              <c:strCache>
                <c:ptCount val="12"/>
                <c:pt idx="0">
                  <c:v>Нед</c:v>
                </c:pt>
                <c:pt idx="1">
                  <c:v>Нед</c:v>
                </c:pt>
                <c:pt idx="2">
                  <c:v>Нед</c:v>
                </c:pt>
                <c:pt idx="3">
                  <c:v>Нед</c:v>
                </c:pt>
                <c:pt idx="4">
                  <c:v>Нед</c:v>
                </c:pt>
                <c:pt idx="5">
                  <c:v>Нед</c:v>
                </c:pt>
                <c:pt idx="6">
                  <c:v>Нед</c:v>
                </c:pt>
                <c:pt idx="7">
                  <c:v>Нед</c:v>
                </c:pt>
                <c:pt idx="8">
                  <c:v>Нед</c:v>
                </c:pt>
                <c:pt idx="9">
                  <c:v>Нед</c:v>
                </c:pt>
                <c:pt idx="10">
                  <c:v>Нед</c:v>
                </c:pt>
                <c:pt idx="11">
                  <c:v>Нед</c:v>
                </c:pt>
              </c:strCache>
            </c:strRef>
          </c:cat>
          <c:val>
            <c:numRef>
              <c:f>Обработка!$C$7:$C$18</c:f>
              <c:numCache>
                <c:formatCode>0%</c:formatCode>
                <c:ptCount val="12"/>
                <c:pt idx="0">
                  <c:v>0.25</c:v>
                </c:pt>
                <c:pt idx="1">
                  <c:v>0.33</c:v>
                </c:pt>
                <c:pt idx="2">
                  <c:v>0.34</c:v>
                </c:pt>
                <c:pt idx="3">
                  <c:v>0.4</c:v>
                </c:pt>
                <c:pt idx="4">
                  <c:v>0.49</c:v>
                </c:pt>
                <c:pt idx="5">
                  <c:v>0.4</c:v>
                </c:pt>
                <c:pt idx="6">
                  <c:v>0.65</c:v>
                </c:pt>
                <c:pt idx="7">
                  <c:v>0.7</c:v>
                </c:pt>
                <c:pt idx="8">
                  <c:v>0.8</c:v>
                </c:pt>
                <c:pt idx="9">
                  <c:v>0.82</c:v>
                </c:pt>
                <c:pt idx="10">
                  <c:v>0.84</c:v>
                </c:pt>
                <c:pt idx="11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0-49B2-9417-ABCC186125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4636703"/>
        <c:axId val="1974634623"/>
      </c:lineChart>
      <c:catAx>
        <c:axId val="197463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4634623"/>
        <c:crosses val="autoZero"/>
        <c:auto val="1"/>
        <c:lblAlgn val="ctr"/>
        <c:lblOffset val="100"/>
        <c:noMultiLvlLbl val="0"/>
      </c:catAx>
      <c:valAx>
        <c:axId val="19746346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463670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Lines="12" dropStyle="combo" dx="26" fmlaLink="Обработка!$A$1" fmlaRange="Данные!$A$2:$A$13" noThreeD="1" sel="12" val="0"/>
</file>

<file path=xl/ctrlProps/ctrlProp2.xml><?xml version="1.0" encoding="utf-8"?>
<formControlPr xmlns="http://schemas.microsoft.com/office/spreadsheetml/2009/9/main" objectType="Radio" firstButton="1" fmlaLink="Обработка!$A$6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123826</xdr:colOff>
      <xdr:row>0</xdr:row>
      <xdr:rowOff>0</xdr:rowOff>
    </xdr:from>
    <xdr:to>
      <xdr:col>11</xdr:col>
      <xdr:colOff>581025</xdr:colOff>
      <xdr:row>3</xdr:row>
      <xdr:rowOff>114300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3426" y="0"/>
          <a:ext cx="6553199" cy="6858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3200" b="0" cap="all" baseline="0">
              <a:solidFill>
                <a:sysClr val="windowText" lastClr="000000"/>
              </a:solidFill>
            </a:rPr>
            <a:t>Дашборд </a:t>
          </a:r>
          <a:r>
            <a:rPr lang="ru-RU" sz="3200" b="0">
              <a:solidFill>
                <a:sysClr val="windowText" lastClr="000000"/>
              </a:solidFill>
            </a:rPr>
            <a:t>в </a:t>
          </a:r>
          <a:r>
            <a:rPr lang="en-US" sz="3200" b="0">
              <a:solidFill>
                <a:sysClr val="windowText" lastClr="000000"/>
              </a:solidFill>
            </a:rPr>
            <a:t>Excel</a:t>
          </a:r>
          <a:endParaRPr lang="ru-RU" sz="3200" b="0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</xdr:colOff>
          <xdr:row>4</xdr:row>
          <xdr:rowOff>0</xdr:rowOff>
        </xdr:from>
        <xdr:to>
          <xdr:col>1</xdr:col>
          <xdr:colOff>457200</xdr:colOff>
          <xdr:row>5</xdr:row>
          <xdr:rowOff>45720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0</xdr:colOff>
      <xdr:row>7</xdr:row>
      <xdr:rowOff>201780</xdr:rowOff>
    </xdr:from>
    <xdr:to>
      <xdr:col>4</xdr:col>
      <xdr:colOff>560641</xdr:colOff>
      <xdr:row>15</xdr:row>
      <xdr:rowOff>163917</xdr:rowOff>
    </xdr:to>
    <xdr:grpSp>
      <xdr:nvGrpSpPr>
        <xdr:cNvPr id="14" name="Группа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215957" y="1750099"/>
          <a:ext cx="1776599" cy="1777967"/>
          <a:chOff x="8212687" y="2272929"/>
          <a:chExt cx="1793081" cy="1830266"/>
        </a:xfrm>
      </xdr:grpSpPr>
      <xdr:graphicFrame macro="">
        <xdr:nvGraphicFramePr>
          <xdr:cNvPr id="15" name="Диаграмма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aphicFramePr/>
        </xdr:nvGraphicFramePr>
        <xdr:xfrm>
          <a:off x="8212687" y="2274914"/>
          <a:ext cx="1793081" cy="1828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6" name="Диаграмма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GraphicFramePr/>
        </xdr:nvGraphicFramePr>
        <xdr:xfrm>
          <a:off x="8212687" y="2272929"/>
          <a:ext cx="1793081" cy="1828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6</xdr:col>
      <xdr:colOff>33128</xdr:colOff>
      <xdr:row>7</xdr:row>
      <xdr:rowOff>173818</xdr:rowOff>
    </xdr:from>
    <xdr:to>
      <xdr:col>9</xdr:col>
      <xdr:colOff>0</xdr:colOff>
      <xdr:row>15</xdr:row>
      <xdr:rowOff>182564</xdr:rowOff>
    </xdr:to>
    <xdr:grpSp>
      <xdr:nvGrpSpPr>
        <xdr:cNvPr id="17" name="Группа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3681000" y="1722137"/>
          <a:ext cx="1790809" cy="1824576"/>
          <a:chOff x="8205603" y="2202263"/>
          <a:chExt cx="1823769" cy="1834780"/>
        </a:xfrm>
      </xdr:grpSpPr>
      <xdr:graphicFrame macro="">
        <xdr:nvGraphicFramePr>
          <xdr:cNvPr id="18" name="Диаграмма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GraphicFramePr>
            <a:graphicFrameLocks/>
          </xdr:cNvGraphicFramePr>
        </xdr:nvGraphicFramePr>
        <xdr:xfrm>
          <a:off x="8205603" y="2202263"/>
          <a:ext cx="1823769" cy="1834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9" name="Диаграмма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aphicFramePr/>
        </xdr:nvGraphicFramePr>
        <xdr:xfrm>
          <a:off x="8205603" y="2202263"/>
          <a:ext cx="1823769" cy="1834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571196</xdr:colOff>
      <xdr:row>15</xdr:row>
      <xdr:rowOff>198057</xdr:rowOff>
    </xdr:to>
    <xdr:grpSp>
      <xdr:nvGrpSpPr>
        <xdr:cNvPr id="23" name="Группа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6079787" y="1775298"/>
          <a:ext cx="1787154" cy="1786908"/>
          <a:chOff x="8283646" y="4178549"/>
          <a:chExt cx="1809119" cy="1759492"/>
        </a:xfrm>
      </xdr:grpSpPr>
      <xdr:graphicFrame macro="">
        <xdr:nvGraphicFramePr>
          <xdr:cNvPr id="24" name="Диаграмма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GraphicFramePr>
            <a:graphicFrameLocks/>
          </xdr:cNvGraphicFramePr>
        </xdr:nvGraphicFramePr>
        <xdr:xfrm>
          <a:off x="8283646" y="4178549"/>
          <a:ext cx="1806805" cy="17594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5" name="Диаграмма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GraphicFramePr>
            <a:graphicFrameLocks/>
          </xdr:cNvGraphicFramePr>
        </xdr:nvGraphicFramePr>
        <xdr:xfrm>
          <a:off x="8285960" y="4178549"/>
          <a:ext cx="1806805" cy="17594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5</xdr:col>
          <xdr:colOff>0</xdr:colOff>
          <xdr:row>19</xdr:row>
          <xdr:rowOff>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Удержание пользователей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611108</xdr:colOff>
      <xdr:row>20</xdr:row>
      <xdr:rowOff>0</xdr:rowOff>
    </xdr:from>
    <xdr:to>
      <xdr:col>12</xdr:col>
      <xdr:colOff>568901</xdr:colOff>
      <xdr:row>32</xdr:row>
      <xdr:rowOff>27160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9</xdr:col>
          <xdr:colOff>0</xdr:colOff>
          <xdr:row>19</xdr:row>
          <xdr:rowOff>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Оценки в AppStore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18</xdr:row>
          <xdr:rowOff>0</xdr:rowOff>
        </xdr:from>
        <xdr:to>
          <xdr:col>13</xdr:col>
          <xdr:colOff>0</xdr:colOff>
          <xdr:row>19</xdr:row>
          <xdr:rowOff>0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Конверсия в платеж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6</xdr:row>
      <xdr:rowOff>46772</xdr:rowOff>
    </xdr:from>
    <xdr:to>
      <xdr:col>29</xdr:col>
      <xdr:colOff>109618</xdr:colOff>
      <xdr:row>10</xdr:row>
      <xdr:rowOff>26894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421035" y="1122537"/>
          <a:ext cx="719218" cy="697298"/>
        </a:xfrm>
        <a:prstGeom prst="ellipse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0</xdr:colOff>
      <xdr:row>1</xdr:row>
      <xdr:rowOff>137075</xdr:rowOff>
    </xdr:from>
    <xdr:to>
      <xdr:col>32</xdr:col>
      <xdr:colOff>583172</xdr:colOff>
      <xdr:row>11</xdr:row>
      <xdr:rowOff>121196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12908280" y="319955"/>
          <a:ext cx="1802372" cy="1812921"/>
          <a:chOff x="8212687" y="2272929"/>
          <a:chExt cx="1793081" cy="1830266"/>
        </a:xfrm>
      </xdr:grpSpPr>
      <xdr:graphicFrame macro="">
        <xdr:nvGraphicFramePr>
          <xdr:cNvPr id="4" name="Диаграмма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aphicFramePr/>
        </xdr:nvGraphicFramePr>
        <xdr:xfrm>
          <a:off x="8212687" y="2274914"/>
          <a:ext cx="1793081" cy="1828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Диаграмма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GraphicFramePr/>
        </xdr:nvGraphicFramePr>
        <xdr:xfrm>
          <a:off x="8212687" y="2272929"/>
          <a:ext cx="1793081" cy="1828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29</xdr:col>
      <xdr:colOff>572300</xdr:colOff>
      <xdr:row>11</xdr:row>
      <xdr:rowOff>121196</xdr:rowOff>
    </xdr:from>
    <xdr:to>
      <xdr:col>32</xdr:col>
      <xdr:colOff>583172</xdr:colOff>
      <xdr:row>21</xdr:row>
      <xdr:rowOff>71456</xdr:rowOff>
    </xdr:to>
    <xdr:grpSp>
      <xdr:nvGrpSpPr>
        <xdr:cNvPr id="11" name="Группа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2870980" y="2132876"/>
          <a:ext cx="1839672" cy="1824780"/>
          <a:chOff x="8205603" y="2202263"/>
          <a:chExt cx="1823769" cy="1834780"/>
        </a:xfrm>
      </xdr:grpSpPr>
      <xdr:graphicFrame macro="">
        <xdr:nvGraphicFramePr>
          <xdr:cNvPr id="5" name="Диаграмма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aphicFramePr>
            <a:graphicFrameLocks/>
          </xdr:cNvGraphicFramePr>
        </xdr:nvGraphicFramePr>
        <xdr:xfrm>
          <a:off x="8205603" y="2202263"/>
          <a:ext cx="1823769" cy="1834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0" name="Диаграмма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aphicFramePr/>
        </xdr:nvGraphicFramePr>
        <xdr:xfrm>
          <a:off x="8205603" y="2202263"/>
          <a:ext cx="1823769" cy="1834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29</xdr:col>
      <xdr:colOff>582814</xdr:colOff>
      <xdr:row>21</xdr:row>
      <xdr:rowOff>71070</xdr:rowOff>
    </xdr:from>
    <xdr:to>
      <xdr:col>32</xdr:col>
      <xdr:colOff>548640</xdr:colOff>
      <xdr:row>31</xdr:row>
      <xdr:rowOff>34035</xdr:rowOff>
    </xdr:to>
    <xdr:grpSp>
      <xdr:nvGrpSpPr>
        <xdr:cNvPr id="14" name="Группа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pSpPr/>
      </xdr:nvGrpSpPr>
      <xdr:grpSpPr>
        <a:xfrm>
          <a:off x="12881494" y="3957270"/>
          <a:ext cx="1794626" cy="1791765"/>
          <a:chOff x="8283646" y="4178549"/>
          <a:chExt cx="1809119" cy="1759492"/>
        </a:xfrm>
      </xdr:grpSpPr>
      <xdr:graphicFrame macro="">
        <xdr:nvGraphicFramePr>
          <xdr:cNvPr id="6" name="Диаграмма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aphicFramePr>
            <a:graphicFrameLocks/>
          </xdr:cNvGraphicFramePr>
        </xdr:nvGraphicFramePr>
        <xdr:xfrm>
          <a:off x="8283646" y="4178549"/>
          <a:ext cx="1806805" cy="17594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2" name="Диаграмма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GraphicFramePr>
            <a:graphicFrameLocks/>
          </xdr:cNvGraphicFramePr>
        </xdr:nvGraphicFramePr>
        <xdr:xfrm>
          <a:off x="8285960" y="4178549"/>
          <a:ext cx="1806805" cy="17594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16</xdr:col>
      <xdr:colOff>167640</xdr:colOff>
      <xdr:row>14</xdr:row>
      <xdr:rowOff>87630</xdr:rowOff>
    </xdr:from>
    <xdr:to>
      <xdr:col>30</xdr:col>
      <xdr:colOff>45720</xdr:colOff>
      <xdr:row>29</xdr:row>
      <xdr:rowOff>41910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2:AM38"/>
  <sheetViews>
    <sheetView showGridLines="0" tabSelected="1" topLeftCell="A12" zoomScale="94" zoomScaleNormal="101" workbookViewId="0">
      <selection activeCell="R29" sqref="R29"/>
    </sheetView>
  </sheetViews>
  <sheetFormatPr defaultRowHeight="14.4" x14ac:dyDescent="0.3"/>
  <sheetData>
    <row r="2" spans="1:39" ht="18" x14ac:dyDescent="0.35"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39" ht="18" x14ac:dyDescent="0.35"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 spans="1:39" ht="18" x14ac:dyDescent="0.35"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18" x14ac:dyDescent="0.35">
      <c r="A5" s="11"/>
      <c r="B5" s="11"/>
      <c r="C5" s="11" t="str">
        <f>Обработка!A2</f>
        <v>Удержание пользовталей в течение недели (%)</v>
      </c>
      <c r="D5" s="11"/>
      <c r="E5" s="11"/>
      <c r="F5" s="11"/>
      <c r="G5" s="11" t="str">
        <f>Обработка!A3</f>
        <v>Оценка в AppStore (0-100)</v>
      </c>
      <c r="H5" s="11"/>
      <c r="I5" s="11"/>
      <c r="J5" s="11"/>
      <c r="K5" s="11" t="str">
        <f>Обработка!A4</f>
        <v>Конверсия в платеж (%)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18" x14ac:dyDescent="0.35">
      <c r="A6" s="11"/>
      <c r="B6" s="11"/>
      <c r="C6" s="11"/>
      <c r="D6" s="12">
        <f>Обработка!B2</f>
        <v>0.79</v>
      </c>
      <c r="E6" s="11"/>
      <c r="F6" s="11"/>
      <c r="G6" s="11"/>
      <c r="H6" s="12">
        <f>Обработка!B3</f>
        <v>0.83</v>
      </c>
      <c r="I6" s="11"/>
      <c r="J6" s="11"/>
      <c r="K6" s="11"/>
      <c r="L6" s="12">
        <f>Обработка!B4</f>
        <v>0.83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18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39" ht="18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ht="18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ht="18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ht="18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ht="18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39" ht="18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39" ht="18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39" ht="18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39" ht="18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ht="18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ht="18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ht="18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ht="18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ht="18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ht="18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ht="18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ht="18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ht="18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ht="18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ht="18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ht="18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ht="18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ht="18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ht="18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8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29" ht="18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8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29" ht="18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8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29" ht="18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9" ht="18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0</xdr:col>
                    <xdr:colOff>99060</xdr:colOff>
                    <xdr:row>4</xdr:row>
                    <xdr:rowOff>0</xdr:rowOff>
                  </from>
                  <to>
                    <xdr:col>1</xdr:col>
                    <xdr:colOff>457200</xdr:colOff>
                    <xdr:row>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Option Button 6">
              <controlPr defaultSize="0" autoFill="0" autoLine="0" autoPict="0">
                <anchor moveWithCells="1">
                  <from>
                    <xdr:col>2</xdr:col>
                    <xdr:colOff>0</xdr:colOff>
                    <xdr:row>18</xdr:row>
                    <xdr:rowOff>0</xdr:rowOff>
                  </from>
                  <to>
                    <xdr:col>5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Option Button 7">
              <controlPr defaultSize="0" autoFill="0" autoLine="0" autoPict="0">
                <anchor moveWithCells="1">
                  <from>
                    <xdr:col>6</xdr:col>
                    <xdr:colOff>0</xdr:colOff>
                    <xdr:row>18</xdr:row>
                    <xdr:rowOff>0</xdr:rowOff>
                  </from>
                  <to>
                    <xdr:col>9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Option Button 8">
              <controlPr defaultSize="0" autoFill="0" autoLine="0" autoPict="0">
                <anchor moveWithCells="1">
                  <from>
                    <xdr:col>10</xdr:col>
                    <xdr:colOff>0</xdr:colOff>
                    <xdr:row>18</xdr:row>
                    <xdr:rowOff>0</xdr:rowOff>
                  </from>
                  <to>
                    <xdr:col>13</xdr:col>
                    <xdr:colOff>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H16"/>
  <sheetViews>
    <sheetView showGridLines="0" workbookViewId="0">
      <selection activeCell="D1" sqref="D1"/>
    </sheetView>
  </sheetViews>
  <sheetFormatPr defaultRowHeight="14.4" x14ac:dyDescent="0.3"/>
  <cols>
    <col min="1" max="1" width="21.6640625" bestFit="1" customWidth="1"/>
    <col min="2" max="2" width="43.33203125" bestFit="1" customWidth="1"/>
    <col min="3" max="3" width="24.109375" bestFit="1" customWidth="1"/>
    <col min="4" max="4" width="22.21875" bestFit="1" customWidth="1"/>
    <col min="5" max="5" width="15.109375" bestFit="1" customWidth="1"/>
    <col min="6" max="6" width="77.88671875" bestFit="1" customWidth="1"/>
  </cols>
  <sheetData>
    <row r="1" spans="1:8" ht="18" x14ac:dyDescent="0.35">
      <c r="A1" s="13" t="s">
        <v>3</v>
      </c>
      <c r="B1" s="13" t="s">
        <v>18</v>
      </c>
      <c r="C1" s="13" t="s">
        <v>5</v>
      </c>
      <c r="D1" s="13" t="s">
        <v>4</v>
      </c>
      <c r="E1" s="14"/>
      <c r="F1" s="15"/>
      <c r="G1" s="16"/>
      <c r="H1" s="16"/>
    </row>
    <row r="2" spans="1:8" x14ac:dyDescent="0.3">
      <c r="A2" s="2" t="s">
        <v>6</v>
      </c>
      <c r="B2" s="1">
        <v>0.3</v>
      </c>
      <c r="C2" s="1">
        <v>0.25</v>
      </c>
      <c r="D2" s="1">
        <v>0.05</v>
      </c>
      <c r="E2" s="16"/>
      <c r="F2" s="17"/>
      <c r="G2" s="16"/>
      <c r="H2" s="16"/>
    </row>
    <row r="3" spans="1:8" x14ac:dyDescent="0.3">
      <c r="A3" s="2" t="s">
        <v>7</v>
      </c>
      <c r="B3" s="1">
        <v>0.25</v>
      </c>
      <c r="C3" s="1">
        <v>0.33</v>
      </c>
      <c r="D3" s="1">
        <v>0.12</v>
      </c>
      <c r="E3" s="16"/>
      <c r="F3" s="17"/>
      <c r="G3" s="17"/>
      <c r="H3" s="16"/>
    </row>
    <row r="4" spans="1:8" x14ac:dyDescent="0.3">
      <c r="A4" s="2" t="s">
        <v>8</v>
      </c>
      <c r="B4" s="1">
        <v>0.15</v>
      </c>
      <c r="C4" s="1">
        <v>0.34</v>
      </c>
      <c r="D4" s="1">
        <v>0.08</v>
      </c>
      <c r="E4" s="16"/>
      <c r="F4" s="17"/>
      <c r="G4" s="17"/>
      <c r="H4" s="16"/>
    </row>
    <row r="5" spans="1:8" x14ac:dyDescent="0.3">
      <c r="A5" s="2" t="s">
        <v>9</v>
      </c>
      <c r="B5" s="1">
        <v>0.38</v>
      </c>
      <c r="C5" s="1">
        <v>0.4</v>
      </c>
      <c r="D5" s="1">
        <v>0.15</v>
      </c>
      <c r="E5" s="16"/>
      <c r="F5" s="17"/>
      <c r="G5" s="17"/>
      <c r="H5" s="16"/>
    </row>
    <row r="6" spans="1:8" x14ac:dyDescent="0.3">
      <c r="A6" s="2" t="s">
        <v>10</v>
      </c>
      <c r="B6" s="1">
        <v>0.3</v>
      </c>
      <c r="C6" s="1">
        <v>0.49</v>
      </c>
      <c r="D6" s="1">
        <v>0.2</v>
      </c>
      <c r="E6" s="16"/>
      <c r="F6" s="17"/>
      <c r="G6" s="17"/>
      <c r="H6" s="16"/>
    </row>
    <row r="7" spans="1:8" x14ac:dyDescent="0.3">
      <c r="A7" s="2" t="s">
        <v>11</v>
      </c>
      <c r="B7" s="1">
        <v>0.5</v>
      </c>
      <c r="C7" s="1">
        <v>0.4</v>
      </c>
      <c r="D7" s="1">
        <v>0.21</v>
      </c>
      <c r="E7" s="16"/>
      <c r="F7" s="17"/>
      <c r="G7" s="17"/>
      <c r="H7" s="16"/>
    </row>
    <row r="8" spans="1:8" x14ac:dyDescent="0.3">
      <c r="A8" s="2" t="s">
        <v>12</v>
      </c>
      <c r="B8" s="1">
        <v>0.56000000000000005</v>
      </c>
      <c r="C8" s="1">
        <v>0.65</v>
      </c>
      <c r="D8" s="1">
        <v>0.22</v>
      </c>
      <c r="E8" s="16"/>
      <c r="F8" s="17"/>
      <c r="G8" s="17"/>
      <c r="H8" s="16"/>
    </row>
    <row r="9" spans="1:8" x14ac:dyDescent="0.3">
      <c r="A9" s="2" t="s">
        <v>13</v>
      </c>
      <c r="B9" s="1">
        <v>0.6</v>
      </c>
      <c r="C9" s="1">
        <v>0.7</v>
      </c>
      <c r="D9" s="1">
        <v>0.46</v>
      </c>
      <c r="E9" s="16"/>
      <c r="F9" s="17"/>
      <c r="G9" s="17"/>
      <c r="H9" s="16"/>
    </row>
    <row r="10" spans="1:8" x14ac:dyDescent="0.3">
      <c r="A10" s="2" t="s">
        <v>14</v>
      </c>
      <c r="B10" s="1">
        <v>0.68</v>
      </c>
      <c r="C10" s="1">
        <v>0.8</v>
      </c>
      <c r="D10" s="1">
        <v>0.72</v>
      </c>
      <c r="E10" s="16"/>
      <c r="F10" s="17"/>
      <c r="G10" s="17"/>
      <c r="H10" s="16"/>
    </row>
    <row r="11" spans="1:8" x14ac:dyDescent="0.3">
      <c r="A11" s="2" t="s">
        <v>15</v>
      </c>
      <c r="B11" s="1">
        <v>0.6</v>
      </c>
      <c r="C11" s="1">
        <v>0.82</v>
      </c>
      <c r="D11" s="1">
        <v>0.2</v>
      </c>
      <c r="E11" s="16"/>
      <c r="F11" s="17"/>
      <c r="G11" s="17"/>
      <c r="H11" s="16"/>
    </row>
    <row r="12" spans="1:8" x14ac:dyDescent="0.3">
      <c r="A12" s="2" t="s">
        <v>16</v>
      </c>
      <c r="B12" s="1">
        <v>0.75</v>
      </c>
      <c r="C12" s="1">
        <v>0.84</v>
      </c>
      <c r="D12" s="1">
        <v>0.56000000000000005</v>
      </c>
      <c r="E12" s="16"/>
      <c r="F12" s="17"/>
      <c r="G12" s="17"/>
      <c r="H12" s="16"/>
    </row>
    <row r="13" spans="1:8" x14ac:dyDescent="0.3">
      <c r="A13" s="2" t="s">
        <v>17</v>
      </c>
      <c r="B13" s="1">
        <v>0.79</v>
      </c>
      <c r="C13" s="1">
        <v>0.83</v>
      </c>
      <c r="D13" s="1">
        <v>0.83</v>
      </c>
      <c r="E13" s="16"/>
      <c r="F13" s="17"/>
      <c r="G13" s="17"/>
      <c r="H13" s="16"/>
    </row>
    <row r="14" spans="1:8" x14ac:dyDescent="0.3">
      <c r="E14" s="16"/>
      <c r="F14" s="16"/>
      <c r="G14" s="16"/>
      <c r="H14" s="16"/>
    </row>
    <row r="15" spans="1:8" x14ac:dyDescent="0.3">
      <c r="E15" s="16"/>
      <c r="F15" s="16"/>
      <c r="G15" s="16"/>
      <c r="H15" s="16"/>
    </row>
    <row r="16" spans="1:8" x14ac:dyDescent="0.3">
      <c r="E16" s="16"/>
      <c r="F16" s="16"/>
      <c r="G16" s="16"/>
      <c r="H16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E33"/>
  <sheetViews>
    <sheetView showGridLines="0" topLeftCell="D9" zoomScaleNormal="102" workbookViewId="0">
      <selection activeCell="P30" sqref="P30"/>
    </sheetView>
  </sheetViews>
  <sheetFormatPr defaultRowHeight="14.4" x14ac:dyDescent="0.3"/>
  <cols>
    <col min="1" max="1" width="22.88671875" bestFit="1" customWidth="1"/>
    <col min="2" max="2" width="9.77734375" bestFit="1" customWidth="1"/>
    <col min="3" max="3" width="24.109375" bestFit="1" customWidth="1"/>
    <col min="4" max="4" width="1.88671875" customWidth="1"/>
    <col min="5" max="5" width="13.88671875" customWidth="1"/>
    <col min="6" max="6" width="3.44140625" customWidth="1"/>
    <col min="7" max="16" width="4.109375" customWidth="1"/>
    <col min="17" max="17" width="4" customWidth="1"/>
    <col min="18" max="18" width="3.44140625" customWidth="1"/>
    <col min="19" max="27" width="4.109375" customWidth="1"/>
  </cols>
  <sheetData>
    <row r="1" spans="1:27" x14ac:dyDescent="0.3">
      <c r="A1" s="3">
        <v>12</v>
      </c>
      <c r="B1" s="3" t="str">
        <f>INDEX(Данные!A2:A13,A1)</f>
        <v>Неделя 12</v>
      </c>
      <c r="E1" s="5" t="s">
        <v>2</v>
      </c>
      <c r="F1" s="3">
        <f>ROUND(B2*100,0)</f>
        <v>79</v>
      </c>
      <c r="G1">
        <v>0</v>
      </c>
      <c r="H1">
        <f>SUM($G$2:G11)</f>
        <v>10</v>
      </c>
      <c r="I1">
        <f>SUM($G$2:H11)</f>
        <v>20</v>
      </c>
      <c r="J1">
        <f>SUM($G$2:I11)</f>
        <v>30</v>
      </c>
      <c r="K1">
        <f>SUM($G$2:J11)</f>
        <v>40</v>
      </c>
      <c r="L1">
        <f>SUM($G$2:K11)</f>
        <v>50</v>
      </c>
      <c r="M1">
        <f>SUM($G$2:L11)</f>
        <v>60</v>
      </c>
      <c r="N1">
        <f>SUM($G$2:M11)</f>
        <v>70</v>
      </c>
      <c r="O1">
        <f>SUM($G$2:N11)</f>
        <v>79</v>
      </c>
      <c r="P1">
        <f>SUM($G$2:O11)</f>
        <v>79</v>
      </c>
    </row>
    <row r="2" spans="1:27" x14ac:dyDescent="0.3">
      <c r="A2" t="s">
        <v>18</v>
      </c>
      <c r="B2" s="4">
        <f>VLOOKUP(B$1,Данные!$A:$D,MATCH(A2,Данные!$A$1:$D$1,0),0)</f>
        <v>0.79</v>
      </c>
      <c r="G2">
        <f>IF(SUM(G$1:G1)&gt;=$F$1,"",1)</f>
        <v>1</v>
      </c>
      <c r="H2">
        <f>IF(SUM(H$1:H1)&gt;=$F$1,"",1)</f>
        <v>1</v>
      </c>
      <c r="I2">
        <f>IF(SUM(I$1:I1)&gt;=$F$1,"",1)</f>
        <v>1</v>
      </c>
      <c r="J2">
        <f>IF(SUM(J$1:J1)&gt;=$F$1,"",1)</f>
        <v>1</v>
      </c>
      <c r="K2">
        <f>IF(SUM(K$1:K1)&gt;=$F$1,"",1)</f>
        <v>1</v>
      </c>
      <c r="L2">
        <f>IF(SUM(L$1:L1)&gt;=$F$1,"",1)</f>
        <v>1</v>
      </c>
      <c r="M2">
        <f>IF(SUM(M$1:M1)&gt;=$F$1,"",1)</f>
        <v>1</v>
      </c>
      <c r="N2">
        <f>IF(SUM(N$1:N1)&gt;=$F$1,"",1)</f>
        <v>1</v>
      </c>
      <c r="O2" t="str">
        <f>IF(SUM(O$1:O1)&gt;=$F$1,"",1)</f>
        <v/>
      </c>
      <c r="P2" t="str">
        <f>IF(SUM(P$1:P1)&gt;=$F$1,"",1)</f>
        <v/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</row>
    <row r="3" spans="1:27" x14ac:dyDescent="0.3">
      <c r="A3" t="s">
        <v>5</v>
      </c>
      <c r="B3" s="4">
        <f>VLOOKUP(B$1,Данные!$A:$D,MATCH(A3,Данные!$A$1:$D$1,0),0)</f>
        <v>0.83</v>
      </c>
      <c r="G3">
        <f>IF(SUM(G$1:G2)&gt;=$F$1,"",1)</f>
        <v>1</v>
      </c>
      <c r="H3">
        <f>IF(SUM(H$1:H2)&gt;=$F$1,"",1)</f>
        <v>1</v>
      </c>
      <c r="I3">
        <f>IF(SUM(I$1:I2)&gt;=$F$1,"",1)</f>
        <v>1</v>
      </c>
      <c r="J3">
        <f>IF(SUM(J$1:J2)&gt;=$F$1,"",1)</f>
        <v>1</v>
      </c>
      <c r="K3">
        <f>IF(SUM(K$1:K2)&gt;=$F$1,"",1)</f>
        <v>1</v>
      </c>
      <c r="L3">
        <f>IF(SUM(L$1:L2)&gt;=$F$1,"",1)</f>
        <v>1</v>
      </c>
      <c r="M3">
        <f>IF(SUM(M$1:M2)&gt;=$F$1,"",1)</f>
        <v>1</v>
      </c>
      <c r="N3">
        <f>IF(SUM(N$1:N2)&gt;=$F$1,"",1)</f>
        <v>1</v>
      </c>
      <c r="O3" t="str">
        <f>IF(SUM(O$1:O2)&gt;=$F$1,"",1)</f>
        <v/>
      </c>
      <c r="P3" t="str">
        <f>IF(SUM(P$1:P2)&gt;=$F$1,"",1)</f>
        <v/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</row>
    <row r="4" spans="1:27" x14ac:dyDescent="0.3">
      <c r="A4" t="s">
        <v>4</v>
      </c>
      <c r="B4" s="4">
        <f>VLOOKUP(B$1,Данные!$A:$D,MATCH(A4,Данные!$A$1:$D$1,0),0)</f>
        <v>0.83</v>
      </c>
      <c r="G4">
        <f>IF(SUM(G$1:G3)&gt;=$F$1,"",1)</f>
        <v>1</v>
      </c>
      <c r="H4">
        <f>IF(SUM(H$1:H3)&gt;=$F$1,"",1)</f>
        <v>1</v>
      </c>
      <c r="I4">
        <f>IF(SUM(I$1:I3)&gt;=$F$1,"",1)</f>
        <v>1</v>
      </c>
      <c r="J4">
        <f>IF(SUM(J$1:J3)&gt;=$F$1,"",1)</f>
        <v>1</v>
      </c>
      <c r="K4">
        <f>IF(SUM(K$1:K3)&gt;=$F$1,"",1)</f>
        <v>1</v>
      </c>
      <c r="L4">
        <f>IF(SUM(L$1:L3)&gt;=$F$1,"",1)</f>
        <v>1</v>
      </c>
      <c r="M4">
        <f>IF(SUM(M$1:M3)&gt;=$F$1,"",1)</f>
        <v>1</v>
      </c>
      <c r="N4">
        <f>IF(SUM(N$1:N3)&gt;=$F$1,"",1)</f>
        <v>1</v>
      </c>
      <c r="O4" t="str">
        <f>IF(SUM(O$1:O3)&gt;=$F$1,"",1)</f>
        <v/>
      </c>
      <c r="P4" t="str">
        <f>IF(SUM(P$1:P3)&gt;=$F$1,"",1)</f>
        <v/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</row>
    <row r="5" spans="1:27" x14ac:dyDescent="0.3">
      <c r="G5">
        <f>IF(SUM(G$1:G4)&gt;=$F$1,"",1)</f>
        <v>1</v>
      </c>
      <c r="H5">
        <f>IF(SUM(H$1:H4)&gt;=$F$1,"",1)</f>
        <v>1</v>
      </c>
      <c r="I5">
        <f>IF(SUM(I$1:I4)&gt;=$F$1,"",1)</f>
        <v>1</v>
      </c>
      <c r="J5">
        <f>IF(SUM(J$1:J4)&gt;=$F$1,"",1)</f>
        <v>1</v>
      </c>
      <c r="K5">
        <f>IF(SUM(K$1:K4)&gt;=$F$1,"",1)</f>
        <v>1</v>
      </c>
      <c r="L5">
        <f>IF(SUM(L$1:L4)&gt;=$F$1,"",1)</f>
        <v>1</v>
      </c>
      <c r="M5">
        <f>IF(SUM(M$1:M4)&gt;=$F$1,"",1)</f>
        <v>1</v>
      </c>
      <c r="N5">
        <f>IF(SUM(N$1:N4)&gt;=$F$1,"",1)</f>
        <v>1</v>
      </c>
      <c r="O5" t="str">
        <f>IF(SUM(O$1:O4)&gt;=$F$1,"",1)</f>
        <v/>
      </c>
      <c r="P5" t="str">
        <f>IF(SUM(P$1:P4)&gt;=$F$1,"",1)</f>
        <v/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</row>
    <row r="6" spans="1:27" x14ac:dyDescent="0.3">
      <c r="A6">
        <v>2</v>
      </c>
      <c r="B6" s="18" t="s">
        <v>19</v>
      </c>
      <c r="C6" s="18" t="str">
        <f>INDEX(Данные!B1:D1,A6)</f>
        <v>Оценка в AppStore (0-100)</v>
      </c>
      <c r="G6">
        <f>IF(SUM(G$1:G5)&gt;=$F$1,"",1)</f>
        <v>1</v>
      </c>
      <c r="H6">
        <f>IF(SUM(H$1:H5)&gt;=$F$1,"",1)</f>
        <v>1</v>
      </c>
      <c r="I6">
        <f>IF(SUM(I$1:I5)&gt;=$F$1,"",1)</f>
        <v>1</v>
      </c>
      <c r="J6">
        <f>IF(SUM(J$1:J5)&gt;=$F$1,"",1)</f>
        <v>1</v>
      </c>
      <c r="K6">
        <f>IF(SUM(K$1:K5)&gt;=$F$1,"",1)</f>
        <v>1</v>
      </c>
      <c r="L6">
        <f>IF(SUM(L$1:L5)&gt;=$F$1,"",1)</f>
        <v>1</v>
      </c>
      <c r="M6">
        <f>IF(SUM(M$1:M5)&gt;=$F$1,"",1)</f>
        <v>1</v>
      </c>
      <c r="N6">
        <f>IF(SUM(N$1:N5)&gt;=$F$1,"",1)</f>
        <v>1</v>
      </c>
      <c r="O6" t="str">
        <f>IF(SUM(O$1:O5)&gt;=$F$1,"",1)</f>
        <v/>
      </c>
      <c r="P6" t="str">
        <f>IF(SUM(P$1:P5)&gt;=$F$1,"",1)</f>
        <v/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</row>
    <row r="7" spans="1:27" x14ac:dyDescent="0.3">
      <c r="A7" s="7" t="str">
        <f>Данные!A2</f>
        <v>Неделя 1</v>
      </c>
      <c r="B7" s="8" t="str">
        <f>LEFT(A7,3)</f>
        <v>Нед</v>
      </c>
      <c r="C7" s="9">
        <f>VLOOKUP(A7,Данные!$A$1:$D$13,$A$6+1,0)</f>
        <v>0.25</v>
      </c>
      <c r="G7">
        <f>IF(SUM(G$1:G6)&gt;=$F$1,"",1)</f>
        <v>1</v>
      </c>
      <c r="H7">
        <f>IF(SUM(H$1:H6)&gt;=$F$1,"",1)</f>
        <v>1</v>
      </c>
      <c r="I7">
        <f>IF(SUM(I$1:I6)&gt;=$F$1,"",1)</f>
        <v>1</v>
      </c>
      <c r="J7">
        <f>IF(SUM(J$1:J6)&gt;=$F$1,"",1)</f>
        <v>1</v>
      </c>
      <c r="K7">
        <f>IF(SUM(K$1:K6)&gt;=$F$1,"",1)</f>
        <v>1</v>
      </c>
      <c r="L7">
        <f>IF(SUM(L$1:L6)&gt;=$F$1,"",1)</f>
        <v>1</v>
      </c>
      <c r="M7">
        <f>IF(SUM(M$1:M6)&gt;=$F$1,"",1)</f>
        <v>1</v>
      </c>
      <c r="N7">
        <f>IF(SUM(N$1:N6)&gt;=$F$1,"",1)</f>
        <v>1</v>
      </c>
      <c r="O7" t="str">
        <f>IF(SUM(O$1:O6)&gt;=$F$1,"",1)</f>
        <v/>
      </c>
      <c r="P7" t="str">
        <f>IF(SUM(P$1:P6)&gt;=$F$1,"",1)</f>
        <v/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</row>
    <row r="8" spans="1:27" x14ac:dyDescent="0.3">
      <c r="A8" s="7" t="str">
        <f>Данные!A3</f>
        <v>Неделя 2</v>
      </c>
      <c r="B8" s="8" t="str">
        <f t="shared" ref="B8:B18" si="0">LEFT(A8,3)</f>
        <v>Нед</v>
      </c>
      <c r="C8" s="9">
        <f>VLOOKUP(A8,Данные!$A$1:$D$13,$A$6+1,0)</f>
        <v>0.33</v>
      </c>
      <c r="G8">
        <f>IF(SUM(G$1:G7)&gt;=$F$1,"",1)</f>
        <v>1</v>
      </c>
      <c r="H8">
        <f>IF(SUM(H$1:H7)&gt;=$F$1,"",1)</f>
        <v>1</v>
      </c>
      <c r="I8">
        <f>IF(SUM(I$1:I7)&gt;=$F$1,"",1)</f>
        <v>1</v>
      </c>
      <c r="J8">
        <f>IF(SUM(J$1:J7)&gt;=$F$1,"",1)</f>
        <v>1</v>
      </c>
      <c r="K8">
        <f>IF(SUM(K$1:K7)&gt;=$F$1,"",1)</f>
        <v>1</v>
      </c>
      <c r="L8">
        <f>IF(SUM(L$1:L7)&gt;=$F$1,"",1)</f>
        <v>1</v>
      </c>
      <c r="M8">
        <f>IF(SUM(M$1:M7)&gt;=$F$1,"",1)</f>
        <v>1</v>
      </c>
      <c r="N8">
        <f>IF(SUM(N$1:N7)&gt;=$F$1,"",1)</f>
        <v>1</v>
      </c>
      <c r="O8" t="str">
        <f>IF(SUM(O$1:O7)&gt;=$F$1,"",1)</f>
        <v/>
      </c>
      <c r="P8" t="str">
        <f>IF(SUM(P$1:P7)&gt;=$F$1,"",1)</f>
        <v/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</row>
    <row r="9" spans="1:27" x14ac:dyDescent="0.3">
      <c r="A9" s="7" t="str">
        <f>Данные!A4</f>
        <v>Неделя 3</v>
      </c>
      <c r="B9" s="8" t="str">
        <f t="shared" si="0"/>
        <v>Нед</v>
      </c>
      <c r="C9" s="9">
        <f>VLOOKUP(A9,Данные!$A$1:$D$13,$A$6+1,0)</f>
        <v>0.34</v>
      </c>
      <c r="G9">
        <f>IF(SUM(G$1:G8)&gt;=$F$1,"",1)</f>
        <v>1</v>
      </c>
      <c r="H9">
        <f>IF(SUM(H$1:H8)&gt;=$F$1,"",1)</f>
        <v>1</v>
      </c>
      <c r="I9">
        <f>IF(SUM(I$1:I8)&gt;=$F$1,"",1)</f>
        <v>1</v>
      </c>
      <c r="J9">
        <f>IF(SUM(J$1:J8)&gt;=$F$1,"",1)</f>
        <v>1</v>
      </c>
      <c r="K9">
        <f>IF(SUM(K$1:K8)&gt;=$F$1,"",1)</f>
        <v>1</v>
      </c>
      <c r="L9">
        <f>IF(SUM(L$1:L8)&gt;=$F$1,"",1)</f>
        <v>1</v>
      </c>
      <c r="M9">
        <f>IF(SUM(M$1:M8)&gt;=$F$1,"",1)</f>
        <v>1</v>
      </c>
      <c r="N9">
        <f>IF(SUM(N$1:N8)&gt;=$F$1,"",1)</f>
        <v>1</v>
      </c>
      <c r="O9" t="str">
        <f>IF(SUM(O$1:O8)&gt;=$F$1,"",1)</f>
        <v/>
      </c>
      <c r="P9" t="str">
        <f>IF(SUM(P$1:P8)&gt;=$F$1,"",1)</f>
        <v/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</row>
    <row r="10" spans="1:27" x14ac:dyDescent="0.3">
      <c r="A10" s="7" t="str">
        <f>Данные!A5</f>
        <v>Неделя 4</v>
      </c>
      <c r="B10" s="8" t="str">
        <f t="shared" si="0"/>
        <v>Нед</v>
      </c>
      <c r="C10" s="9">
        <f>VLOOKUP(A10,Данные!$A$1:$D$13,$A$6+1,0)</f>
        <v>0.4</v>
      </c>
      <c r="G10">
        <f>IF(SUM(G$1:G9)&gt;=$F$1,"",1)</f>
        <v>1</v>
      </c>
      <c r="H10">
        <f>IF(SUM(H$1:H9)&gt;=$F$1,"",1)</f>
        <v>1</v>
      </c>
      <c r="I10">
        <f>IF(SUM(I$1:I9)&gt;=$F$1,"",1)</f>
        <v>1</v>
      </c>
      <c r="J10">
        <f>IF(SUM(J$1:J9)&gt;=$F$1,"",1)</f>
        <v>1</v>
      </c>
      <c r="K10">
        <f>IF(SUM(K$1:K9)&gt;=$F$1,"",1)</f>
        <v>1</v>
      </c>
      <c r="L10">
        <f>IF(SUM(L$1:L9)&gt;=$F$1,"",1)</f>
        <v>1</v>
      </c>
      <c r="M10">
        <f>IF(SUM(M$1:M9)&gt;=$F$1,"",1)</f>
        <v>1</v>
      </c>
      <c r="N10">
        <f>IF(SUM(N$1:N9)&gt;=$F$1,"",1)</f>
        <v>1</v>
      </c>
      <c r="O10" t="str">
        <f>IF(SUM(O$1:O9)&gt;=$F$1,"",1)</f>
        <v/>
      </c>
      <c r="P10" t="str">
        <f>IF(SUM(P$1:P9)&gt;=$F$1,"",1)</f>
        <v/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1</v>
      </c>
      <c r="Z10" s="6">
        <v>1</v>
      </c>
      <c r="AA10" s="6">
        <v>1</v>
      </c>
    </row>
    <row r="11" spans="1:27" x14ac:dyDescent="0.3">
      <c r="A11" s="7" t="str">
        <f>Данные!A6</f>
        <v>Неделя 5</v>
      </c>
      <c r="B11" s="8" t="str">
        <f t="shared" si="0"/>
        <v>Нед</v>
      </c>
      <c r="C11" s="9">
        <f>VLOOKUP(A11,Данные!$A$1:$D$13,$A$6+1,0)</f>
        <v>0.49</v>
      </c>
      <c r="G11">
        <f>IF(SUM(G$1:G10)&gt;=$F$1,"",1)</f>
        <v>1</v>
      </c>
      <c r="H11">
        <f>IF(SUM(H$1:H10)&gt;=$F$1,"",1)</f>
        <v>1</v>
      </c>
      <c r="I11">
        <f>IF(SUM(I$1:I10)&gt;=$F$1,"",1)</f>
        <v>1</v>
      </c>
      <c r="J11">
        <f>IF(SUM(J$1:J10)&gt;=$F$1,"",1)</f>
        <v>1</v>
      </c>
      <c r="K11">
        <f>IF(SUM(K$1:K10)&gt;=$F$1,"",1)</f>
        <v>1</v>
      </c>
      <c r="L11">
        <f>IF(SUM(L$1:L10)&gt;=$F$1,"",1)</f>
        <v>1</v>
      </c>
      <c r="M11">
        <f>IF(SUM(M$1:M10)&gt;=$F$1,"",1)</f>
        <v>1</v>
      </c>
      <c r="N11" t="str">
        <f>IF(SUM(N$1:N10)&gt;=$F$1,"",1)</f>
        <v/>
      </c>
      <c r="O11" t="str">
        <f>IF(SUM(O$1:O10)&gt;=$F$1,"",1)</f>
        <v/>
      </c>
      <c r="P11" t="str">
        <f>IF(SUM(P$1:P10)&gt;=$F$1,"",1)</f>
        <v/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</row>
    <row r="12" spans="1:27" x14ac:dyDescent="0.3">
      <c r="A12" s="7" t="str">
        <f>Данные!A7</f>
        <v>Неделя 6</v>
      </c>
      <c r="B12" s="8" t="str">
        <f t="shared" si="0"/>
        <v>Нед</v>
      </c>
      <c r="C12" s="9">
        <f>VLOOKUP(A12,Данные!$A$1:$D$13,$A$6+1,0)</f>
        <v>0.4</v>
      </c>
      <c r="E12" s="5" t="s">
        <v>0</v>
      </c>
      <c r="F12" s="3">
        <f>ROUND(B3*100,0)</f>
        <v>83</v>
      </c>
      <c r="G12">
        <v>0</v>
      </c>
      <c r="H12">
        <f>SUM($G$13:G22)</f>
        <v>10</v>
      </c>
      <c r="I12">
        <f>SUM($G$13:H22)</f>
        <v>20</v>
      </c>
      <c r="J12">
        <f>SUM($G$13:I22)</f>
        <v>30</v>
      </c>
      <c r="K12">
        <f>SUM($G$13:J22)</f>
        <v>40</v>
      </c>
      <c r="L12">
        <f>SUM($G$13:K22)</f>
        <v>50</v>
      </c>
      <c r="M12">
        <f>SUM($G$13:L22)</f>
        <v>60</v>
      </c>
      <c r="N12">
        <f>SUM($G$13:M22)</f>
        <v>70</v>
      </c>
      <c r="O12">
        <f>SUM($G$13:N22)</f>
        <v>80</v>
      </c>
      <c r="P12">
        <f>SUM($G$13:O22)</f>
        <v>83</v>
      </c>
    </row>
    <row r="13" spans="1:27" x14ac:dyDescent="0.3">
      <c r="A13" s="7" t="str">
        <f>Данные!A8</f>
        <v>Неделя 7</v>
      </c>
      <c r="B13" s="8" t="str">
        <f t="shared" si="0"/>
        <v>Нед</v>
      </c>
      <c r="C13" s="9">
        <f>VLOOKUP(A13,Данные!$A$1:$D$13,$A$6+1,0)</f>
        <v>0.65</v>
      </c>
      <c r="G13">
        <f>IF(SUM(G$12:G12)&gt;=$F$12,"",1)</f>
        <v>1</v>
      </c>
      <c r="H13">
        <f>IF(SUM(H$12:H12)&gt;=$F$12,"",1)</f>
        <v>1</v>
      </c>
      <c r="I13">
        <f>IF(SUM(I$12:I12)&gt;=$F$12,"",1)</f>
        <v>1</v>
      </c>
      <c r="J13">
        <f>IF(SUM(J$12:J12)&gt;=$F$12,"",1)</f>
        <v>1</v>
      </c>
      <c r="K13">
        <f>IF(SUM(K$12:K12)&gt;=$F$12,"",1)</f>
        <v>1</v>
      </c>
      <c r="L13">
        <f>IF(SUM(L$12:L12)&gt;=$F$12,"",1)</f>
        <v>1</v>
      </c>
      <c r="M13">
        <f>IF(SUM(M$12:M12)&gt;=$F$12,"",1)</f>
        <v>1</v>
      </c>
      <c r="N13">
        <f>IF(SUM(N$12:N12)&gt;=$F$12,"",1)</f>
        <v>1</v>
      </c>
      <c r="O13">
        <f>IF(SUM(O$12:O12)&gt;=$F$12,"",1)</f>
        <v>1</v>
      </c>
      <c r="P13" t="str">
        <f>IF(SUM(P$12:P12)&gt;=$F$12,"",1)</f>
        <v/>
      </c>
    </row>
    <row r="14" spans="1:27" x14ac:dyDescent="0.3">
      <c r="A14" s="7" t="str">
        <f>Данные!A9</f>
        <v>Неделя 8</v>
      </c>
      <c r="B14" s="8" t="str">
        <f t="shared" si="0"/>
        <v>Нед</v>
      </c>
      <c r="C14" s="9">
        <f>VLOOKUP(A14,Данные!$A$1:$D$13,$A$6+1,0)</f>
        <v>0.7</v>
      </c>
      <c r="G14">
        <f>IF(SUM(G$12:G13)&gt;=$F$12,"",1)</f>
        <v>1</v>
      </c>
      <c r="H14">
        <f>IF(SUM(H$12:H13)&gt;=$F$12,"",1)</f>
        <v>1</v>
      </c>
      <c r="I14">
        <f>IF(SUM(I$12:I13)&gt;=$F$12,"",1)</f>
        <v>1</v>
      </c>
      <c r="J14">
        <f>IF(SUM(J$12:J13)&gt;=$F$12,"",1)</f>
        <v>1</v>
      </c>
      <c r="K14">
        <f>IF(SUM(K$12:K13)&gt;=$F$12,"",1)</f>
        <v>1</v>
      </c>
      <c r="L14">
        <f>IF(SUM(L$12:L13)&gt;=$F$12,"",1)</f>
        <v>1</v>
      </c>
      <c r="M14">
        <f>IF(SUM(M$12:M13)&gt;=$F$12,"",1)</f>
        <v>1</v>
      </c>
      <c r="N14">
        <f>IF(SUM(N$12:N13)&gt;=$F$12,"",1)</f>
        <v>1</v>
      </c>
      <c r="O14">
        <f>IF(SUM(O$12:O13)&gt;=$F$12,"",1)</f>
        <v>1</v>
      </c>
      <c r="P14" t="str">
        <f>IF(SUM(P$12:P13)&gt;=$F$12,"",1)</f>
        <v/>
      </c>
    </row>
    <row r="15" spans="1:27" x14ac:dyDescent="0.3">
      <c r="A15" s="7" t="str">
        <f>Данные!A10</f>
        <v>Неделя 9</v>
      </c>
      <c r="B15" s="8" t="str">
        <f t="shared" si="0"/>
        <v>Нед</v>
      </c>
      <c r="C15" s="9">
        <f>VLOOKUP(A15,Данные!$A$1:$D$13,$A$6+1,0)</f>
        <v>0.8</v>
      </c>
      <c r="G15">
        <f>IF(SUM(G$12:G14)&gt;=$F$12,"",1)</f>
        <v>1</v>
      </c>
      <c r="H15">
        <f>IF(SUM(H$12:H14)&gt;=$F$12,"",1)</f>
        <v>1</v>
      </c>
      <c r="I15">
        <f>IF(SUM(I$12:I14)&gt;=$F$12,"",1)</f>
        <v>1</v>
      </c>
      <c r="J15">
        <f>IF(SUM(J$12:J14)&gt;=$F$12,"",1)</f>
        <v>1</v>
      </c>
      <c r="K15">
        <f>IF(SUM(K$12:K14)&gt;=$F$12,"",1)</f>
        <v>1</v>
      </c>
      <c r="L15">
        <f>IF(SUM(L$12:L14)&gt;=$F$12,"",1)</f>
        <v>1</v>
      </c>
      <c r="M15">
        <f>IF(SUM(M$12:M14)&gt;=$F$12,"",1)</f>
        <v>1</v>
      </c>
      <c r="N15">
        <f>IF(SUM(N$12:N14)&gt;=$F$12,"",1)</f>
        <v>1</v>
      </c>
      <c r="O15">
        <f>IF(SUM(O$12:O14)&gt;=$F$12,"",1)</f>
        <v>1</v>
      </c>
      <c r="P15" t="str">
        <f>IF(SUM(P$12:P14)&gt;=$F$12,"",1)</f>
        <v/>
      </c>
    </row>
    <row r="16" spans="1:27" x14ac:dyDescent="0.3">
      <c r="A16" s="7" t="str">
        <f>Данные!A11</f>
        <v>Неделя 10</v>
      </c>
      <c r="B16" s="8" t="str">
        <f t="shared" si="0"/>
        <v>Нед</v>
      </c>
      <c r="C16" s="9">
        <f>VLOOKUP(A16,Данные!$A$1:$D$13,$A$6+1,0)</f>
        <v>0.82</v>
      </c>
      <c r="G16">
        <f>IF(SUM(G$12:G15)&gt;=$F$12,"",1)</f>
        <v>1</v>
      </c>
      <c r="H16">
        <f>IF(SUM(H$12:H15)&gt;=$F$12,"",1)</f>
        <v>1</v>
      </c>
      <c r="I16">
        <f>IF(SUM(I$12:I15)&gt;=$F$12,"",1)</f>
        <v>1</v>
      </c>
      <c r="J16">
        <f>IF(SUM(J$12:J15)&gt;=$F$12,"",1)</f>
        <v>1</v>
      </c>
      <c r="K16">
        <f>IF(SUM(K$12:K15)&gt;=$F$12,"",1)</f>
        <v>1</v>
      </c>
      <c r="L16">
        <f>IF(SUM(L$12:L15)&gt;=$F$12,"",1)</f>
        <v>1</v>
      </c>
      <c r="M16">
        <f>IF(SUM(M$12:M15)&gt;=$F$12,"",1)</f>
        <v>1</v>
      </c>
      <c r="N16">
        <f>IF(SUM(N$12:N15)&gt;=$F$12,"",1)</f>
        <v>1</v>
      </c>
      <c r="O16" t="str">
        <f>IF(SUM(O$12:O15)&gt;=$F$12,"",1)</f>
        <v/>
      </c>
      <c r="P16" t="str">
        <f>IF(SUM(P$12:P15)&gt;=$F$12,"",1)</f>
        <v/>
      </c>
    </row>
    <row r="17" spans="1:31" x14ac:dyDescent="0.3">
      <c r="A17" s="7" t="str">
        <f>Данные!A12</f>
        <v>Неделя 11</v>
      </c>
      <c r="B17" s="8" t="str">
        <f t="shared" si="0"/>
        <v>Нед</v>
      </c>
      <c r="C17" s="9">
        <f>VLOOKUP(A17,Данные!$A$1:$D$13,$A$6+1,0)</f>
        <v>0.84</v>
      </c>
      <c r="G17">
        <f>IF(SUM(G$12:G16)&gt;=$F$12,"",1)</f>
        <v>1</v>
      </c>
      <c r="H17">
        <f>IF(SUM(H$12:H16)&gt;=$F$12,"",1)</f>
        <v>1</v>
      </c>
      <c r="I17">
        <f>IF(SUM(I$12:I16)&gt;=$F$12,"",1)</f>
        <v>1</v>
      </c>
      <c r="J17">
        <f>IF(SUM(J$12:J16)&gt;=$F$12,"",1)</f>
        <v>1</v>
      </c>
      <c r="K17">
        <f>IF(SUM(K$12:K16)&gt;=$F$12,"",1)</f>
        <v>1</v>
      </c>
      <c r="L17">
        <f>IF(SUM(L$12:L16)&gt;=$F$12,"",1)</f>
        <v>1</v>
      </c>
      <c r="M17">
        <f>IF(SUM(M$12:M16)&gt;=$F$12,"",1)</f>
        <v>1</v>
      </c>
      <c r="N17">
        <f>IF(SUM(N$12:N16)&gt;=$F$12,"",1)</f>
        <v>1</v>
      </c>
      <c r="O17" t="str">
        <f>IF(SUM(O$12:O16)&gt;=$F$12,"",1)</f>
        <v/>
      </c>
      <c r="P17" t="str">
        <f>IF(SUM(P$12:P16)&gt;=$F$12,"",1)</f>
        <v/>
      </c>
    </row>
    <row r="18" spans="1:31" x14ac:dyDescent="0.3">
      <c r="A18" s="7" t="str">
        <f>Данные!A13</f>
        <v>Неделя 12</v>
      </c>
      <c r="B18" s="8" t="str">
        <f t="shared" si="0"/>
        <v>Нед</v>
      </c>
      <c r="C18" s="9">
        <f>VLOOKUP(A18,Данные!$A$1:$D$13,$A$6+1,0)</f>
        <v>0.83</v>
      </c>
      <c r="G18">
        <f>IF(SUM(G$12:G17)&gt;=$F$12,"",1)</f>
        <v>1</v>
      </c>
      <c r="H18">
        <f>IF(SUM(H$12:H17)&gt;=$F$12,"",1)</f>
        <v>1</v>
      </c>
      <c r="I18">
        <f>IF(SUM(I$12:I17)&gt;=$F$12,"",1)</f>
        <v>1</v>
      </c>
      <c r="J18">
        <f>IF(SUM(J$12:J17)&gt;=$F$12,"",1)</f>
        <v>1</v>
      </c>
      <c r="K18">
        <f>IF(SUM(K$12:K17)&gt;=$F$12,"",1)</f>
        <v>1</v>
      </c>
      <c r="L18">
        <f>IF(SUM(L$12:L17)&gt;=$F$12,"",1)</f>
        <v>1</v>
      </c>
      <c r="M18">
        <f>IF(SUM(M$12:M17)&gt;=$F$12,"",1)</f>
        <v>1</v>
      </c>
      <c r="N18">
        <f>IF(SUM(N$12:N17)&gt;=$F$12,"",1)</f>
        <v>1</v>
      </c>
      <c r="O18" t="str">
        <f>IF(SUM(O$12:O17)&gt;=$F$12,"",1)</f>
        <v/>
      </c>
      <c r="P18" t="str">
        <f>IF(SUM(P$12:P17)&gt;=$F$12,"",1)</f>
        <v/>
      </c>
    </row>
    <row r="19" spans="1:31" ht="18" x14ac:dyDescent="0.35">
      <c r="G19">
        <f>IF(SUM(G$12:G18)&gt;=$F$12,"",1)</f>
        <v>1</v>
      </c>
      <c r="H19">
        <f>IF(SUM(H$12:H18)&gt;=$F$12,"",1)</f>
        <v>1</v>
      </c>
      <c r="I19">
        <f>IF(SUM(I$12:I18)&gt;=$F$12,"",1)</f>
        <v>1</v>
      </c>
      <c r="J19">
        <f>IF(SUM(J$12:J18)&gt;=$F$12,"",1)</f>
        <v>1</v>
      </c>
      <c r="K19">
        <f>IF(SUM(K$12:K18)&gt;=$F$12,"",1)</f>
        <v>1</v>
      </c>
      <c r="L19">
        <f>IF(SUM(L$12:L18)&gt;=$F$12,"",1)</f>
        <v>1</v>
      </c>
      <c r="M19">
        <f>IF(SUM(M$12:M18)&gt;=$F$12,"",1)</f>
        <v>1</v>
      </c>
      <c r="N19">
        <f>IF(SUM(N$12:N18)&gt;=$F$12,"",1)</f>
        <v>1</v>
      </c>
      <c r="O19" t="str">
        <f>IF(SUM(O$12:O18)&gt;=$F$12,"",1)</f>
        <v/>
      </c>
      <c r="P19" t="str">
        <f>IF(SUM(P$12:P18)&gt;=$F$12,"",1)</f>
        <v/>
      </c>
      <c r="T19" s="10"/>
    </row>
    <row r="20" spans="1:31" x14ac:dyDescent="0.3">
      <c r="G20">
        <f>IF(SUM(G$12:G19)&gt;=$F$12,"",1)</f>
        <v>1</v>
      </c>
      <c r="H20">
        <f>IF(SUM(H$12:H19)&gt;=$F$12,"",1)</f>
        <v>1</v>
      </c>
      <c r="I20">
        <f>IF(SUM(I$12:I19)&gt;=$F$12,"",1)</f>
        <v>1</v>
      </c>
      <c r="J20">
        <f>IF(SUM(J$12:J19)&gt;=$F$12,"",1)</f>
        <v>1</v>
      </c>
      <c r="K20">
        <f>IF(SUM(K$12:K19)&gt;=$F$12,"",1)</f>
        <v>1</v>
      </c>
      <c r="L20">
        <f>IF(SUM(L$12:L19)&gt;=$F$12,"",1)</f>
        <v>1</v>
      </c>
      <c r="M20">
        <f>IF(SUM(M$12:M19)&gt;=$F$12,"",1)</f>
        <v>1</v>
      </c>
      <c r="N20">
        <f>IF(SUM(N$12:N19)&gt;=$F$12,"",1)</f>
        <v>1</v>
      </c>
      <c r="O20" t="str">
        <f>IF(SUM(O$12:O19)&gt;=$F$12,"",1)</f>
        <v/>
      </c>
      <c r="P20" t="str">
        <f>IF(SUM(P$12:P19)&gt;=$F$12,"",1)</f>
        <v/>
      </c>
      <c r="T20" s="19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31" x14ac:dyDescent="0.3">
      <c r="G21">
        <f>IF(SUM(G$12:G20)&gt;=$F$12,"",1)</f>
        <v>1</v>
      </c>
      <c r="H21">
        <f>IF(SUM(H$12:H20)&gt;=$F$12,"",1)</f>
        <v>1</v>
      </c>
      <c r="I21">
        <f>IF(SUM(I$12:I20)&gt;=$F$12,"",1)</f>
        <v>1</v>
      </c>
      <c r="J21">
        <f>IF(SUM(J$12:J20)&gt;=$F$12,"",1)</f>
        <v>1</v>
      </c>
      <c r="K21">
        <f>IF(SUM(K$12:K20)&gt;=$F$12,"",1)</f>
        <v>1</v>
      </c>
      <c r="L21">
        <f>IF(SUM(L$12:L20)&gt;=$F$12,"",1)</f>
        <v>1</v>
      </c>
      <c r="M21">
        <f>IF(SUM(M$12:M20)&gt;=$F$12,"",1)</f>
        <v>1</v>
      </c>
      <c r="N21">
        <f>IF(SUM(N$12:N20)&gt;=$F$12,"",1)</f>
        <v>1</v>
      </c>
      <c r="O21" t="str">
        <f>IF(SUM(O$12:O20)&gt;=$F$12,"",1)</f>
        <v/>
      </c>
      <c r="P21" t="str">
        <f>IF(SUM(P$12:P20)&gt;=$F$12,"",1)</f>
        <v/>
      </c>
    </row>
    <row r="22" spans="1:31" x14ac:dyDescent="0.3">
      <c r="G22">
        <f>IF(SUM(G$12:G21)&gt;=$F$12,"",1)</f>
        <v>1</v>
      </c>
      <c r="H22">
        <f>IF(SUM(H$12:H21)&gt;=$F$12,"",1)</f>
        <v>1</v>
      </c>
      <c r="I22">
        <f>IF(SUM(I$12:I21)&gt;=$F$12,"",1)</f>
        <v>1</v>
      </c>
      <c r="J22">
        <f>IF(SUM(J$12:J21)&gt;=$F$12,"",1)</f>
        <v>1</v>
      </c>
      <c r="K22">
        <f>IF(SUM(K$12:K21)&gt;=$F$12,"",1)</f>
        <v>1</v>
      </c>
      <c r="L22">
        <f>IF(SUM(L$12:L21)&gt;=$F$12,"",1)</f>
        <v>1</v>
      </c>
      <c r="M22">
        <f>IF(SUM(M$12:M21)&gt;=$F$12,"",1)</f>
        <v>1</v>
      </c>
      <c r="N22">
        <f>IF(SUM(N$12:N21)&gt;=$F$12,"",1)</f>
        <v>1</v>
      </c>
      <c r="O22" t="str">
        <f>IF(SUM(O$12:O21)&gt;=$F$12,"",1)</f>
        <v/>
      </c>
      <c r="P22" t="str">
        <f>IF(SUM(P$12:P21)&gt;=$F$12,"",1)</f>
        <v/>
      </c>
    </row>
    <row r="23" spans="1:31" x14ac:dyDescent="0.3">
      <c r="E23" s="5" t="s">
        <v>1</v>
      </c>
      <c r="F23" s="3">
        <f>ROUND(B4*100,0)</f>
        <v>83</v>
      </c>
      <c r="G23">
        <v>0</v>
      </c>
      <c r="H23">
        <f>SUM($G$24:G33)</f>
        <v>10</v>
      </c>
      <c r="I23">
        <f>SUM($G$24:H33)</f>
        <v>20</v>
      </c>
      <c r="J23">
        <f>SUM($G$24:I33)</f>
        <v>30</v>
      </c>
      <c r="K23">
        <f>SUM($G$24:J33)</f>
        <v>40</v>
      </c>
      <c r="L23">
        <f>SUM($G$24:K33)</f>
        <v>50</v>
      </c>
      <c r="M23">
        <f>SUM($G$24:L33)</f>
        <v>60</v>
      </c>
      <c r="N23">
        <f>SUM($G$24:M33)</f>
        <v>70</v>
      </c>
      <c r="O23">
        <f>SUM($G$24:N33)</f>
        <v>80</v>
      </c>
      <c r="P23">
        <f>SUM($G$24:O33)</f>
        <v>83</v>
      </c>
    </row>
    <row r="24" spans="1:31" x14ac:dyDescent="0.3">
      <c r="G24">
        <f>IF(SUM(G$23:G23)&gt;=$F$23,"",1)</f>
        <v>1</v>
      </c>
      <c r="H24">
        <f>IF(SUM(H$23:H23)&gt;=$F$23,"",1)</f>
        <v>1</v>
      </c>
      <c r="I24">
        <f>IF(SUM(I$23:I23)&gt;=$F$23,"",1)</f>
        <v>1</v>
      </c>
      <c r="J24">
        <f>IF(SUM(J$23:J23)&gt;=$F$23,"",1)</f>
        <v>1</v>
      </c>
      <c r="K24">
        <f>IF(SUM(K$23:K23)&gt;=$F$23,"",1)</f>
        <v>1</v>
      </c>
      <c r="L24">
        <f>IF(SUM(L$23:L23)&gt;=$F$23,"",1)</f>
        <v>1</v>
      </c>
      <c r="M24">
        <f>IF(SUM(M$23:M23)&gt;=$F$23,"",1)</f>
        <v>1</v>
      </c>
      <c r="N24">
        <f>IF(SUM(N$23:N23)&gt;=$F$23,"",1)</f>
        <v>1</v>
      </c>
      <c r="O24">
        <f>IF(SUM(O$23:O23)&gt;=$F$23,"",1)</f>
        <v>1</v>
      </c>
      <c r="P24" t="str">
        <f>IF(SUM(P$23:P23)&gt;=$F$23,"",1)</f>
        <v/>
      </c>
    </row>
    <row r="25" spans="1:31" x14ac:dyDescent="0.3">
      <c r="G25">
        <f>IF(SUM(G$23:G24)&gt;=$F$23,"",1)</f>
        <v>1</v>
      </c>
      <c r="H25">
        <f>IF(SUM(H$23:H24)&gt;=$F$23,"",1)</f>
        <v>1</v>
      </c>
      <c r="I25">
        <f>IF(SUM(I$23:I24)&gt;=$F$23,"",1)</f>
        <v>1</v>
      </c>
      <c r="J25">
        <f>IF(SUM(J$23:J24)&gt;=$F$23,"",1)</f>
        <v>1</v>
      </c>
      <c r="K25">
        <f>IF(SUM(K$23:K24)&gt;=$F$23,"",1)</f>
        <v>1</v>
      </c>
      <c r="L25">
        <f>IF(SUM(L$23:L24)&gt;=$F$23,"",1)</f>
        <v>1</v>
      </c>
      <c r="M25">
        <f>IF(SUM(M$23:M24)&gt;=$F$23,"",1)</f>
        <v>1</v>
      </c>
      <c r="N25">
        <f>IF(SUM(N$23:N24)&gt;=$F$23,"",1)</f>
        <v>1</v>
      </c>
      <c r="O25">
        <f>IF(SUM(O$23:O24)&gt;=$F$23,"",1)</f>
        <v>1</v>
      </c>
      <c r="P25" t="str">
        <f>IF(SUM(P$23:P24)&gt;=$F$23,"",1)</f>
        <v/>
      </c>
    </row>
    <row r="26" spans="1:31" x14ac:dyDescent="0.3">
      <c r="G26">
        <f>IF(SUM(G$23:G25)&gt;=$F$23,"",1)</f>
        <v>1</v>
      </c>
      <c r="H26">
        <f>IF(SUM(H$23:H25)&gt;=$F$23,"",1)</f>
        <v>1</v>
      </c>
      <c r="I26">
        <f>IF(SUM(I$23:I25)&gt;=$F$23,"",1)</f>
        <v>1</v>
      </c>
      <c r="J26">
        <f>IF(SUM(J$23:J25)&gt;=$F$23,"",1)</f>
        <v>1</v>
      </c>
      <c r="K26">
        <f>IF(SUM(K$23:K25)&gt;=$F$23,"",1)</f>
        <v>1</v>
      </c>
      <c r="L26">
        <f>IF(SUM(L$23:L25)&gt;=$F$23,"",1)</f>
        <v>1</v>
      </c>
      <c r="M26">
        <f>IF(SUM(M$23:M25)&gt;=$F$23,"",1)</f>
        <v>1</v>
      </c>
      <c r="N26">
        <f>IF(SUM(N$23:N25)&gt;=$F$23,"",1)</f>
        <v>1</v>
      </c>
      <c r="O26">
        <f>IF(SUM(O$23:O25)&gt;=$F$23,"",1)</f>
        <v>1</v>
      </c>
      <c r="P26" t="str">
        <f>IF(SUM(P$23:P25)&gt;=$F$23,"",1)</f>
        <v/>
      </c>
    </row>
    <row r="27" spans="1:31" x14ac:dyDescent="0.3">
      <c r="G27">
        <f>IF(SUM(G$23:G26)&gt;=$F$23,"",1)</f>
        <v>1</v>
      </c>
      <c r="H27">
        <f>IF(SUM(H$23:H26)&gt;=$F$23,"",1)</f>
        <v>1</v>
      </c>
      <c r="I27">
        <f>IF(SUM(I$23:I26)&gt;=$F$23,"",1)</f>
        <v>1</v>
      </c>
      <c r="J27">
        <f>IF(SUM(J$23:J26)&gt;=$F$23,"",1)</f>
        <v>1</v>
      </c>
      <c r="K27">
        <f>IF(SUM(K$23:K26)&gt;=$F$23,"",1)</f>
        <v>1</v>
      </c>
      <c r="L27">
        <f>IF(SUM(L$23:L26)&gt;=$F$23,"",1)</f>
        <v>1</v>
      </c>
      <c r="M27">
        <f>IF(SUM(M$23:M26)&gt;=$F$23,"",1)</f>
        <v>1</v>
      </c>
      <c r="N27">
        <f>IF(SUM(N$23:N26)&gt;=$F$23,"",1)</f>
        <v>1</v>
      </c>
      <c r="O27" t="str">
        <f>IF(SUM(O$23:O26)&gt;=$F$23,"",1)</f>
        <v/>
      </c>
      <c r="P27" t="str">
        <f>IF(SUM(P$23:P26)&gt;=$F$23,"",1)</f>
        <v/>
      </c>
    </row>
    <row r="28" spans="1:31" x14ac:dyDescent="0.3">
      <c r="G28">
        <f>IF(SUM(G$23:G27)&gt;=$F$23,"",1)</f>
        <v>1</v>
      </c>
      <c r="H28">
        <f>IF(SUM(H$23:H27)&gt;=$F$23,"",1)</f>
        <v>1</v>
      </c>
      <c r="I28">
        <f>IF(SUM(I$23:I27)&gt;=$F$23,"",1)</f>
        <v>1</v>
      </c>
      <c r="J28">
        <f>IF(SUM(J$23:J27)&gt;=$F$23,"",1)</f>
        <v>1</v>
      </c>
      <c r="K28">
        <f>IF(SUM(K$23:K27)&gt;=$F$23,"",1)</f>
        <v>1</v>
      </c>
      <c r="L28">
        <f>IF(SUM(L$23:L27)&gt;=$F$23,"",1)</f>
        <v>1</v>
      </c>
      <c r="M28">
        <f>IF(SUM(M$23:M27)&gt;=$F$23,"",1)</f>
        <v>1</v>
      </c>
      <c r="N28">
        <f>IF(SUM(N$23:N27)&gt;=$F$23,"",1)</f>
        <v>1</v>
      </c>
      <c r="O28" t="str">
        <f>IF(SUM(O$23:O27)&gt;=$F$23,"",1)</f>
        <v/>
      </c>
      <c r="P28" t="str">
        <f>IF(SUM(P$23:P27)&gt;=$F$23,"",1)</f>
        <v/>
      </c>
    </row>
    <row r="29" spans="1:31" x14ac:dyDescent="0.3">
      <c r="G29">
        <f>IF(SUM(G$23:G28)&gt;=$F$23,"",1)</f>
        <v>1</v>
      </c>
      <c r="H29">
        <f>IF(SUM(H$23:H28)&gt;=$F$23,"",1)</f>
        <v>1</v>
      </c>
      <c r="I29">
        <f>IF(SUM(I$23:I28)&gt;=$F$23,"",1)</f>
        <v>1</v>
      </c>
      <c r="J29">
        <f>IF(SUM(J$23:J28)&gt;=$F$23,"",1)</f>
        <v>1</v>
      </c>
      <c r="K29">
        <f>IF(SUM(K$23:K28)&gt;=$F$23,"",1)</f>
        <v>1</v>
      </c>
      <c r="L29">
        <f>IF(SUM(L$23:L28)&gt;=$F$23,"",1)</f>
        <v>1</v>
      </c>
      <c r="M29">
        <f>IF(SUM(M$23:M28)&gt;=$F$23,"",1)</f>
        <v>1</v>
      </c>
      <c r="N29">
        <f>IF(SUM(N$23:N28)&gt;=$F$23,"",1)</f>
        <v>1</v>
      </c>
      <c r="O29" t="str">
        <f>IF(SUM(O$23:O28)&gt;=$F$23,"",1)</f>
        <v/>
      </c>
      <c r="P29" t="str">
        <f>IF(SUM(P$23:P28)&gt;=$F$23,"",1)</f>
        <v/>
      </c>
    </row>
    <row r="30" spans="1:31" x14ac:dyDescent="0.3">
      <c r="G30">
        <f>IF(SUM(G$23:G29)&gt;=$F$23,"",1)</f>
        <v>1</v>
      </c>
      <c r="H30">
        <f>IF(SUM(H$23:H29)&gt;=$F$23,"",1)</f>
        <v>1</v>
      </c>
      <c r="I30">
        <f>IF(SUM(I$23:I29)&gt;=$F$23,"",1)</f>
        <v>1</v>
      </c>
      <c r="J30">
        <f>IF(SUM(J$23:J29)&gt;=$F$23,"",1)</f>
        <v>1</v>
      </c>
      <c r="K30">
        <f>IF(SUM(K$23:K29)&gt;=$F$23,"",1)</f>
        <v>1</v>
      </c>
      <c r="L30">
        <f>IF(SUM(L$23:L29)&gt;=$F$23,"",1)</f>
        <v>1</v>
      </c>
      <c r="M30">
        <f>IF(SUM(M$23:M29)&gt;=$F$23,"",1)</f>
        <v>1</v>
      </c>
      <c r="N30">
        <f>IF(SUM(N$23:N29)&gt;=$F$23,"",1)</f>
        <v>1</v>
      </c>
      <c r="O30" t="str">
        <f>IF(SUM(O$23:O29)&gt;=$F$23,"",1)</f>
        <v/>
      </c>
      <c r="P30" t="str">
        <f>IF(SUM(P$23:P29)&gt;=$F$23,"",1)</f>
        <v/>
      </c>
    </row>
    <row r="31" spans="1:31" x14ac:dyDescent="0.3">
      <c r="G31">
        <f>IF(SUM(G$23:G30)&gt;=$F$23,"",1)</f>
        <v>1</v>
      </c>
      <c r="H31">
        <f>IF(SUM(H$23:H30)&gt;=$F$23,"",1)</f>
        <v>1</v>
      </c>
      <c r="I31">
        <f>IF(SUM(I$23:I30)&gt;=$F$23,"",1)</f>
        <v>1</v>
      </c>
      <c r="J31">
        <f>IF(SUM(J$23:J30)&gt;=$F$23,"",1)</f>
        <v>1</v>
      </c>
      <c r="K31">
        <f>IF(SUM(K$23:K30)&gt;=$F$23,"",1)</f>
        <v>1</v>
      </c>
      <c r="L31">
        <f>IF(SUM(L$23:L30)&gt;=$F$23,"",1)</f>
        <v>1</v>
      </c>
      <c r="M31">
        <f>IF(SUM(M$23:M30)&gt;=$F$23,"",1)</f>
        <v>1</v>
      </c>
      <c r="N31">
        <f>IF(SUM(N$23:N30)&gt;=$F$23,"",1)</f>
        <v>1</v>
      </c>
      <c r="O31" t="str">
        <f>IF(SUM(O$23:O30)&gt;=$F$23,"",1)</f>
        <v/>
      </c>
      <c r="P31" t="str">
        <f>IF(SUM(P$23:P30)&gt;=$F$23,"",1)</f>
        <v/>
      </c>
    </row>
    <row r="32" spans="1:31" x14ac:dyDescent="0.3">
      <c r="G32">
        <f>IF(SUM(G$23:G31)&gt;=$F$23,"",1)</f>
        <v>1</v>
      </c>
      <c r="H32">
        <f>IF(SUM(H$23:H31)&gt;=$F$23,"",1)</f>
        <v>1</v>
      </c>
      <c r="I32">
        <f>IF(SUM(I$23:I31)&gt;=$F$23,"",1)</f>
        <v>1</v>
      </c>
      <c r="J32">
        <f>IF(SUM(J$23:J31)&gt;=$F$23,"",1)</f>
        <v>1</v>
      </c>
      <c r="K32">
        <f>IF(SUM(K$23:K31)&gt;=$F$23,"",1)</f>
        <v>1</v>
      </c>
      <c r="L32">
        <f>IF(SUM(L$23:L31)&gt;=$F$23,"",1)</f>
        <v>1</v>
      </c>
      <c r="M32">
        <f>IF(SUM(M$23:M31)&gt;=$F$23,"",1)</f>
        <v>1</v>
      </c>
      <c r="N32">
        <f>IF(SUM(N$23:N31)&gt;=$F$23,"",1)</f>
        <v>1</v>
      </c>
      <c r="O32" t="str">
        <f>IF(SUM(O$23:O31)&gt;=$F$23,"",1)</f>
        <v/>
      </c>
      <c r="P32" t="str">
        <f>IF(SUM(P$23:P31)&gt;=$F$23,"",1)</f>
        <v/>
      </c>
    </row>
    <row r="33" spans="7:16" x14ac:dyDescent="0.3">
      <c r="G33">
        <f>IF(SUM(G$23:G32)&gt;=$F$23,"",1)</f>
        <v>1</v>
      </c>
      <c r="H33">
        <f>IF(SUM(H$23:H32)&gt;=$F$23,"",1)</f>
        <v>1</v>
      </c>
      <c r="I33">
        <f>IF(SUM(I$23:I32)&gt;=$F$23,"",1)</f>
        <v>1</v>
      </c>
      <c r="J33">
        <f>IF(SUM(J$23:J32)&gt;=$F$23,"",1)</f>
        <v>1</v>
      </c>
      <c r="K33">
        <f>IF(SUM(K$23:K32)&gt;=$F$23,"",1)</f>
        <v>1</v>
      </c>
      <c r="L33">
        <f>IF(SUM(L$23:L32)&gt;=$F$23,"",1)</f>
        <v>1</v>
      </c>
      <c r="M33">
        <f>IF(SUM(M$23:M32)&gt;=$F$23,"",1)</f>
        <v>1</v>
      </c>
      <c r="N33">
        <f>IF(SUM(N$23:N32)&gt;=$F$23,"",1)</f>
        <v>1</v>
      </c>
      <c r="O33" t="str">
        <f>IF(SUM(O$23:O32)&gt;=$F$23,"",1)</f>
        <v/>
      </c>
      <c r="P33" t="str">
        <f>IF(SUM(P$23:P32)&gt;=$F$23,"",1)</f>
        <v/>
      </c>
    </row>
  </sheetData>
  <mergeCells count="1">
    <mergeCell ref="T20:AE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Дашборд</vt:lpstr>
      <vt:lpstr>Данные</vt:lpstr>
      <vt:lpstr>Обработка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</dc:creator>
  <cp:lastModifiedBy>user008</cp:lastModifiedBy>
  <dcterms:created xsi:type="dcterms:W3CDTF">2019-04-30T08:29:58Z</dcterms:created>
  <dcterms:modified xsi:type="dcterms:W3CDTF">2025-12-17T06:21:37Z</dcterms:modified>
</cp:coreProperties>
</file>